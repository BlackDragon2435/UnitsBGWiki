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Info" sheetId="1" r:id="rId4"/>
    <sheet state="visible" name="Tier List" sheetId="2" r:id="rId5"/>
    <sheet state="visible" name="Mod List" sheetId="3" r:id="rId6"/>
    <sheet state="visible" name="Level Costs" sheetId="4" r:id="rId7"/>
    <sheet state="visible" name="Crate Chances" sheetId="5" r:id="rId8"/>
    <sheet state="visible" name="Sheet6" sheetId="6" r:id="rId9"/>
  </sheets>
  <definedNames>
    <definedName hidden="1" localSheetId="0" name="_xlnm._FilterDatabase">'Unit Info'!$A$1:$AA$1000</definedName>
    <definedName hidden="1" localSheetId="1" name="_xlnm._FilterDatabase">'Tier List'!$B$1:$B$1000</definedName>
    <definedName hidden="1" localSheetId="2" name="_xlnm._FilterDatabase">'Mod List'!$A$1:$Z$30</definedName>
    <definedName name="MY_FUNCTION1">LAMBDA(SORT(UNIQUE(IMPORTRANGE("1CG1QQI8OyvNVglxqlqPT9fqRo7FNy3SJfpLGvZcMxvQ", "UnitInfo!A:A"))))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60">
      <text>
        <t xml:space="preserve">ASH ADD ARTEMIS
	-CRELLY</t>
      </text>
    </comment>
    <comment authorId="0" ref="A159">
      <text>
        <t xml:space="preserve">No Artemis on this list
	-CRELLY</t>
      </text>
    </comment>
    <comment authorId="0" ref="A24">
      <text>
        <t xml:space="preserve">Triton
	-CRELLY</t>
      </text>
    </comment>
  </commentList>
</comments>
</file>

<file path=xl/sharedStrings.xml><?xml version="1.0" encoding="utf-8"?>
<sst xmlns="http://schemas.openxmlformats.org/spreadsheetml/2006/main" count="2845" uniqueCount="696">
  <si>
    <t>UnitName</t>
  </si>
  <si>
    <t>CritChance</t>
  </si>
  <si>
    <t>Label</t>
  </si>
  <si>
    <t>ImageURL</t>
  </si>
  <si>
    <t>Class</t>
  </si>
  <si>
    <t>HPOffset</t>
  </si>
  <si>
    <t>AttackEffect</t>
  </si>
  <si>
    <t>Damage</t>
  </si>
  <si>
    <t>Knockback</t>
  </si>
  <si>
    <t>Rarity</t>
  </si>
  <si>
    <t>DPS</t>
  </si>
  <si>
    <t>Accuracy</t>
  </si>
  <si>
    <t>EvadeChance</t>
  </si>
  <si>
    <t>Distance</t>
  </si>
  <si>
    <t>ShadowStepDistance</t>
  </si>
  <si>
    <t>CritDamage</t>
  </si>
  <si>
    <t>AttackEffectType</t>
  </si>
  <si>
    <t>AttackEffectLifesteal</t>
  </si>
  <si>
    <t>AttackEffectKey</t>
  </si>
  <si>
    <t>HP</t>
  </si>
  <si>
    <t>Cooldown</t>
  </si>
  <si>
    <t>ShadowStepCooldown</t>
  </si>
  <si>
    <t>MultiAttack</t>
  </si>
  <si>
    <t xml:space="preserve">CommunityRanking </t>
  </si>
  <si>
    <t>Crate Info</t>
  </si>
  <si>
    <t>GoblinAxeman</t>
  </si>
  <si>
    <t>N/A</t>
  </si>
  <si>
    <t>Goblin Axeman</t>
  </si>
  <si>
    <t>https://raw.githubusercontent.com/BlackDragon2435/UnitsBGWiki/main/assets/GoblinAxeman_Rare.jpg</t>
  </si>
  <si>
    <t>Warrior</t>
  </si>
  <si>
    <t>Rare</t>
  </si>
  <si>
    <t>The Goblins Cave Crate</t>
  </si>
  <si>
    <t>Berserker</t>
  </si>
  <si>
    <t>https://raw.githubusercontent.com/BlackDragon2435/UnitsBGWiki/main/assets/Berserker_Mythic.jpg</t>
  </si>
  <si>
    <t>Mythic</t>
  </si>
  <si>
    <t>Crystal crate #2</t>
  </si>
  <si>
    <t>OmelaTree</t>
  </si>
  <si>
    <t>Omela Tree</t>
  </si>
  <si>
    <t>https://raw.githubusercontent.com/BlackDragon2435/UnitsBGWiki/main/assets/OmelaTree_Demonic.jpg</t>
  </si>
  <si>
    <t>Tank</t>
  </si>
  <si>
    <t>Demonic</t>
  </si>
  <si>
    <t>Not in a provided crate</t>
  </si>
  <si>
    <t>DemonicArbalester</t>
  </si>
  <si>
    <t>Demonic Arbalester</t>
  </si>
  <si>
    <t>https://raw.githubusercontent.com/BlackDragon2435/UnitsBGWiki/main/assets/DemonicArbalester_Legendary.jpg</t>
  </si>
  <si>
    <t>Ranger</t>
  </si>
  <si>
    <t>Legendary</t>
  </si>
  <si>
    <t>Bartender</t>
  </si>
  <si>
    <t>https://raw.githubusercontent.com/BlackDragon2435/UnitsBGWiki/main/assets/Bartender_Legendary.jpg</t>
  </si>
  <si>
    <t>Support</t>
  </si>
  <si>
    <t>UpCooldown</t>
  </si>
  <si>
    <t>LoveWizard</t>
  </si>
  <si>
    <t>Love Wizard</t>
  </si>
  <si>
    <t>https://placehold.co/60x60/cccccc/333333?text=LW</t>
  </si>
  <si>
    <t>Hearts</t>
  </si>
  <si>
    <t>The Wizard Tower Crate</t>
  </si>
  <si>
    <t>Miner</t>
  </si>
  <si>
    <t>https://raw.githubusercontent.com/BlackDragon2435/UnitsBGWiki/main/assets/Miner_Uncommon.jpg</t>
  </si>
  <si>
    <t>Uncommon</t>
  </si>
  <si>
    <t>Beginner box #1, Beginner box #2</t>
  </si>
  <si>
    <t>TheIceQueen</t>
  </si>
  <si>
    <t>The Ice Queen(BossUnit)</t>
  </si>
  <si>
    <t>https://placehold.co/60x60/cccccc/333333?text=TIQ</t>
  </si>
  <si>
    <t>Wizard</t>
  </si>
  <si>
    <t>Frost</t>
  </si>
  <si>
    <t>Slow</t>
  </si>
  <si>
    <t>SlowBoss</t>
  </si>
  <si>
    <t>ElvenPathfinder</t>
  </si>
  <si>
    <t>Elven Pathfinder</t>
  </si>
  <si>
    <t>https://placehold.co/60x60/cccccc/333333?text=EP</t>
  </si>
  <si>
    <t>The Elven Forest Crate</t>
  </si>
  <si>
    <t>GoblinAssassin</t>
  </si>
  <si>
    <t>Goblin Assassin</t>
  </si>
  <si>
    <t>https://raw.githubusercontent.com/BlackDragon2435/UnitsBGWiki/main/assets/GoblinAssassin_Rare.jpg</t>
  </si>
  <si>
    <t>Assassin</t>
  </si>
  <si>
    <t>Poison</t>
  </si>
  <si>
    <t>Succubus</t>
  </si>
  <si>
    <t>https://raw.githubusercontent.com/BlackDragon2435/UnitsBGWiki/main/assets/Succubus_Mythic.jpg</t>
  </si>
  <si>
    <t>Witch</t>
  </si>
  <si>
    <t>https://raw.githubusercontent.com/BlackDragon2435/UnitsBGWiki/main/assets/Witch_Mythic.jpg</t>
  </si>
  <si>
    <t>Healer</t>
  </si>
  <si>
    <t>Healing</t>
  </si>
  <si>
    <t>https://raw.githubusercontent.com/BlackDragon2435/UnitsBGWiki/main/assets/Wizard_Rare.jpg</t>
  </si>
  <si>
    <t>Beginner box #1, Beginner box #2, Epic box</t>
  </si>
  <si>
    <t>Gryla</t>
  </si>
  <si>
    <t>https://raw.githubusercontent.com/BlackDragon2435/UnitsBGWiki/main/assets/Gryla_Mythic.jpg</t>
  </si>
  <si>
    <t>Summoner</t>
  </si>
  <si>
    <t>PirateAssassinator</t>
  </si>
  <si>
    <t>Pirate Assassinator</t>
  </si>
  <si>
    <t>https://raw.githubusercontent.com/BlackDragon2435/UnitsBGWiki/main/assets/PirateAssassinator_Epic.jpg</t>
  </si>
  <si>
    <t>Epic</t>
  </si>
  <si>
    <t>The Pirate Bay Crate</t>
  </si>
  <si>
    <t>Yeti</t>
  </si>
  <si>
    <t>https://raw.githubusercontent.com/BlackDragon2435/UnitsBGWiki/main/assets/Yeti_Mythic.jpg</t>
  </si>
  <si>
    <t>Pyromancer</t>
  </si>
  <si>
    <t>https://raw.githubusercontent.com/BlackDragon2435/UnitsBGWiki/main/assets/Pyromancer_Rare.jpg</t>
  </si>
  <si>
    <t>Fire</t>
  </si>
  <si>
    <t>Burn</t>
  </si>
  <si>
    <t>Epic box, Beginner box #2</t>
  </si>
  <si>
    <t>Demon</t>
  </si>
  <si>
    <t>https://placehold.co/60x60/cccccc/333333?text=D</t>
  </si>
  <si>
    <t>Lifesteal</t>
  </si>
  <si>
    <t>Crystal crate #3, Crystal crate #2, Crystal crate #1, Crystal crate #4</t>
  </si>
  <si>
    <t>SummonerWizard</t>
  </si>
  <si>
    <t>Summoner Wizard</t>
  </si>
  <si>
    <t>https://placehold.co/60x60/cccccc/333333?text=SW</t>
  </si>
  <si>
    <t>PirateQuartermaster</t>
  </si>
  <si>
    <t>Pirate Quartermaster</t>
  </si>
  <si>
    <t>https://placehold.co/60x60/cccccc/333333?text=PQ</t>
  </si>
  <si>
    <t>Bard</t>
  </si>
  <si>
    <t>VoidWizard</t>
  </si>
  <si>
    <t>Void Wizard</t>
  </si>
  <si>
    <t>https://placehold.co/60x60/cccccc/333333?text=VW</t>
  </si>
  <si>
    <t>ElvenWarrior</t>
  </si>
  <si>
    <t>Elven Warrior</t>
  </si>
  <si>
    <t>https://raw.githubusercontent.com/BlackDragon2435/UnitsBGWiki/main/assets/ElvenWarrior_Rare.jpg</t>
  </si>
  <si>
    <t>Triton</t>
  </si>
  <si>
    <t>Triton(Personal)</t>
  </si>
  <si>
    <t>https://placehold.co/60x60/cccccc/333333?text=T(P)</t>
  </si>
  <si>
    <t>Roman</t>
  </si>
  <si>
    <t>https://placehold.co/60x60/cccccc/333333?text=R</t>
  </si>
  <si>
    <t>Legendary box, Crystal crate #3, Crystal crate #2</t>
  </si>
  <si>
    <t>ElvenDruid</t>
  </si>
  <si>
    <t>Elven Druid</t>
  </si>
  <si>
    <t>https://raw.githubusercontent.com/BlackDragon2435/UnitsBGWiki/main/assets/ElvenDruid_Legendary.jpg</t>
  </si>
  <si>
    <t>TheAdmiral</t>
  </si>
  <si>
    <t>The Admiral of Death(BossUnit)</t>
  </si>
  <si>
    <t>https://raw.githubusercontent.com/BlackDragon2435/UnitsBGWiki/main/assets/TheAdmiral_Mythic.jpg</t>
  </si>
  <si>
    <t>Oceanid</t>
  </si>
  <si>
    <t>https://raw.githubusercontent.com/BlackDragon2435/UnitsBGWiki/main/assets/Oceanid_Mythic.jpg</t>
  </si>
  <si>
    <t>Volt</t>
  </si>
  <si>
    <t>https://placehold.co/60x60/cccccc/333333?text=V</t>
  </si>
  <si>
    <t>Crystal crate #3, Crystal crate #4</t>
  </si>
  <si>
    <t>FireArcher</t>
  </si>
  <si>
    <t>Fire Archer</t>
  </si>
  <si>
    <t>https://raw.githubusercontent.com/BlackDragon2435/UnitsBGWiki/main/assets/FireArcher_Epic.jpg</t>
  </si>
  <si>
    <t>Epic box, Legendary box, Mythic box</t>
  </si>
  <si>
    <t>NoobOnTheBeach</t>
  </si>
  <si>
    <t>Noob On The Beach</t>
  </si>
  <si>
    <t>https://raw.githubusercontent.com/BlackDragon2435/UnitsBGWiki/main/assets/NoobOnTheBeach_Legendary.jpg</t>
  </si>
  <si>
    <t>GoblinShaman</t>
  </si>
  <si>
    <t>Goblin Shaman</t>
  </si>
  <si>
    <t>https://raw.githubusercontent.com/BlackDragon2435/UnitsBGWiki/main/assets/GoblinShaman_Rare.jpg</t>
  </si>
  <si>
    <t>DarkHerald</t>
  </si>
  <si>
    <t>Dark Herald</t>
  </si>
  <si>
    <t>https://raw.githubusercontent.com/BlackDragon2435/UnitsBGWiki/main/assets/DarkHerald_Mythic.jpg</t>
  </si>
  <si>
    <t>Halloween Crate #1</t>
  </si>
  <si>
    <t>Vampire</t>
  </si>
  <si>
    <t>https://raw.githubusercontent.com/BlackDragon2435/UnitsBGWiki/main/assets/Vampire_Epic.jpg</t>
  </si>
  <si>
    <t>The Graveyard Crate</t>
  </si>
  <si>
    <t>Cupid</t>
  </si>
  <si>
    <t>https://placehold.co/60x60/cccccc/333333?text=C</t>
  </si>
  <si>
    <t>Crabman</t>
  </si>
  <si>
    <t>https://raw.githubusercontent.com/BlackDragon2435/UnitsBGWiki/main/assets/Crabman_Epic.jpg</t>
  </si>
  <si>
    <t>Barbarian</t>
  </si>
  <si>
    <t>https://raw.githubusercontent.com/BlackDragon2435/UnitsBGWiki/main/assets/Barbarian_Epic.jpg</t>
  </si>
  <si>
    <t>Epic box, Legendary box, Crystal crate #1, Crystal crate #4, Mythic box</t>
  </si>
  <si>
    <t>TheReaper</t>
  </si>
  <si>
    <t>The Reaper(BossUnit)</t>
  </si>
  <si>
    <t>https://placehold.co/60x60/cccccc/333333?text=TR</t>
  </si>
  <si>
    <t>Spearman</t>
  </si>
  <si>
    <t>https://raw.githubusercontent.com/BlackDragon2435/UnitsBGWiki/main/assets/Spearman_Rare.jpg</t>
  </si>
  <si>
    <t>ElvenWizard</t>
  </si>
  <si>
    <t>Elven Wizard</t>
  </si>
  <si>
    <t>https://placehold.co/60x60/cccccc/333333?text=EW</t>
  </si>
  <si>
    <t>Weak</t>
  </si>
  <si>
    <t>Nereid</t>
  </si>
  <si>
    <t>https://placehold.co/60x60/cccccc/333333?text=N</t>
  </si>
  <si>
    <t>https://placehold.co/60x60/cccccc/333333?text=A</t>
  </si>
  <si>
    <t>GoblinArcher</t>
  </si>
  <si>
    <t>Goblin Archer</t>
  </si>
  <si>
    <t>https://raw.githubusercontent.com/BlackDragon2435/UnitsBGWiki/main/assets/GoblinArcher_Uncommon.jpg</t>
  </si>
  <si>
    <t>Hoplomachus</t>
  </si>
  <si>
    <t>https://placehold.co/60x60/cccccc/333333?text=H</t>
  </si>
  <si>
    <t>Crystal crate #3, Crystal crate #2, Crystal crate #4</t>
  </si>
  <si>
    <t>Bandit</t>
  </si>
  <si>
    <t>https://raw.githubusercontent.com/BlackDragon2435/UnitsBGWiki/main/assets/Bandit_Mythic.jpg</t>
  </si>
  <si>
    <t>Sharkman</t>
  </si>
  <si>
    <t>https://raw.githubusercontent.com/BlackDragon2435/UnitsBGWiki/main/assets/Sharkman_Epic.jpg</t>
  </si>
  <si>
    <t>Squire</t>
  </si>
  <si>
    <t>https://raw.githubusercontent.com/BlackDragon2435/UnitsBGWiki/main/assets/Squire_Rare.jpg</t>
  </si>
  <si>
    <t>Gladiator</t>
  </si>
  <si>
    <t>https://raw.githubusercontent.com/BlackDragon2435/UnitsBGWiki/main/assets/Gladiator_Epic.jpg</t>
  </si>
  <si>
    <t>Epic box, Legendary box</t>
  </si>
  <si>
    <t>SkeletonDuelist</t>
  </si>
  <si>
    <t>Skeleton Duelist</t>
  </si>
  <si>
    <t>https://placehold.co/60x60/cccccc/333333?text=SD</t>
  </si>
  <si>
    <t>Peasant</t>
  </si>
  <si>
    <t>https://raw.githubusercontent.com/BlackDragon2435/UnitsBGWiki/main/assets/Peasant_Uncommon.jpg</t>
  </si>
  <si>
    <t>The Crimson Nest Crate</t>
  </si>
  <si>
    <t>Frostflame</t>
  </si>
  <si>
    <t>https://raw.githubusercontent.com/BlackDragon2435/UnitsBGWiki/main/assets/Frostflame_Legendary.jpg</t>
  </si>
  <si>
    <t>SkeletonAssassin</t>
  </si>
  <si>
    <t>Skeleton Assassin</t>
  </si>
  <si>
    <t>https://placehold.co/60x60/cccccc/333333?text=SA</t>
  </si>
  <si>
    <t>GoblinTank</t>
  </si>
  <si>
    <t>Goblin Tank</t>
  </si>
  <si>
    <t>https://raw.githubusercontent.com/BlackDragon2435/UnitsBGWiki/main/assets/GoblinTank_Rare.jpg</t>
  </si>
  <si>
    <t>SojutsuMaster</t>
  </si>
  <si>
    <t>Sojutsu Master</t>
  </si>
  <si>
    <t>https://placehold.co/60x60/cccccc/333333?text=SM</t>
  </si>
  <si>
    <t>GoblinKing</t>
  </si>
  <si>
    <t>Goblin King(BossUnit)</t>
  </si>
  <si>
    <t>https://raw.githubusercontent.com/BlackDragon2435/UnitsBGWiki/main/assets/GoblinKing_Legendary.jpg</t>
  </si>
  <si>
    <t>PeasantArcher</t>
  </si>
  <si>
    <t>Peasant Archer</t>
  </si>
  <si>
    <t>https://raw.githubusercontent.com/BlackDragon2435/UnitsBGWiki/main/assets/PeasantArcher_Uncommon.jpg</t>
  </si>
  <si>
    <t>Crystal crate #3, Crystal crate #2</t>
  </si>
  <si>
    <t>NoobShaman</t>
  </si>
  <si>
    <t>Noob Shaman</t>
  </si>
  <si>
    <t>https://raw.githubusercontent.com/BlackDragon2435/UnitsBGWiki/main/assets/NoobShaman_Rare.jpg</t>
  </si>
  <si>
    <t>BabyGoblinWarrior</t>
  </si>
  <si>
    <t>Baby Warrior</t>
  </si>
  <si>
    <t>https://placehold.co/60x60/cccccc/333333?text=BGW</t>
  </si>
  <si>
    <t>Common</t>
  </si>
  <si>
    <t>SkeletonMage</t>
  </si>
  <si>
    <t>Skeleton Mage</t>
  </si>
  <si>
    <t>https://raw.githubusercontent.com/BlackDragon2435/UnitsBGWiki/main/assets/SkeletonMage_Rare.jpg</t>
  </si>
  <si>
    <t>Commander</t>
  </si>
  <si>
    <t>https://raw.githubusercontent.com/BlackDragon2435/UnitsBGWiki/main/assets/Commander_Demonic.jpg</t>
  </si>
  <si>
    <t>UpDamage</t>
  </si>
  <si>
    <t>ElvenSniper</t>
  </si>
  <si>
    <t>Elven Sniper</t>
  </si>
  <si>
    <t>https://raw.githubusercontent.com/BlackDragon2435/UnitsBGWiki/main/assets/ElvenSniper_Legendary.jpg</t>
  </si>
  <si>
    <t>ChristmasElfWizard</t>
  </si>
  <si>
    <t>Christmas Elf Wizard</t>
  </si>
  <si>
    <t>https://placehold.co/60x60/cccccc/333333?text=CEW</t>
  </si>
  <si>
    <t>Krampus</t>
  </si>
  <si>
    <t>https://raw.githubusercontent.com/BlackDragon2435/UnitsBGWiki/main/assets/Krampus_Demonic.jpg</t>
  </si>
  <si>
    <t>TheIceQueenSmall</t>
  </si>
  <si>
    <t>The Ice Queen(Normal)</t>
  </si>
  <si>
    <t>https://raw.githubusercontent.com/BlackDragon2435/UnitsBGWiki/main/assets/TheIceQueenSmall_Mythic.jpg</t>
  </si>
  <si>
    <t>SmallBlackDragon</t>
  </si>
  <si>
    <t>Black Dragon(Normal)</t>
  </si>
  <si>
    <t>https://raw.githubusercontent.com/BlackDragon2435/UnitsBGWiki/main/assets/SmallBlackDragon_Ancient.jpg</t>
  </si>
  <si>
    <t>Ancient</t>
  </si>
  <si>
    <t>BloodMage</t>
  </si>
  <si>
    <t>Blood Mage</t>
  </si>
  <si>
    <t>https://placehold.co/60x60/cccccc/333333?text=BM</t>
  </si>
  <si>
    <t>Crystal crate #1</t>
  </si>
  <si>
    <t>https://placehold.co/60x60/cccccc/333333?text=B</t>
  </si>
  <si>
    <t>CandyCane</t>
  </si>
  <si>
    <t>Candy Cane Shooter</t>
  </si>
  <si>
    <t>https://raw.githubusercontent.com/BlackDragon2435/UnitsBGWiki/main/assets/CandyCane_Mythic.jpg</t>
  </si>
  <si>
    <t>PirateShooter</t>
  </si>
  <si>
    <t>Pirate Shooter</t>
  </si>
  <si>
    <t>https://raw.githubusercontent.com/BlackDragon2435/UnitsBGWiki/main/assets/PirateShooter_Rare.jpg</t>
  </si>
  <si>
    <t>Boatswain</t>
  </si>
  <si>
    <t>https://raw.githubusercontent.com/BlackDragon2435/UnitsBGWiki/main/assets/Boatswain_Epic.jpg</t>
  </si>
  <si>
    <t>PirateSailor</t>
  </si>
  <si>
    <t>Pirate Sailor</t>
  </si>
  <si>
    <t>https://raw.githubusercontent.com/BlackDragon2435/UnitsBGWiki/main/assets/PirateSailor_Uncommon.jpg</t>
  </si>
  <si>
    <t>Vendigo</t>
  </si>
  <si>
    <t>https://raw.githubusercontent.com/BlackDragon2435/UnitsBGWiki/main/assets/Vendigo_Mythic.jpg</t>
  </si>
  <si>
    <t>SmallHeadlessKnight</t>
  </si>
  <si>
    <t>Headless Knight(Normal)</t>
  </si>
  <si>
    <t>https://raw.githubusercontent.com/BlackDragon2435/UnitsBGWiki/main/assets/SmallHeadlessKnight_Mythic.jpg</t>
  </si>
  <si>
    <t>Trifang</t>
  </si>
  <si>
    <t>https://raw.githubusercontent.com/BlackDragon2435/UnitsBGWiki/main/assets/Trifang_Mythic.jpg</t>
  </si>
  <si>
    <t>DragonDemon</t>
  </si>
  <si>
    <t>Dragon Demon</t>
  </si>
  <si>
    <t>https://raw.githubusercontent.com/BlackDragon2435/UnitsBGWiki/main/assets/DragonDemon_Legendary.jpg</t>
  </si>
  <si>
    <t>Crystal crate #2, Crystal crate #4</t>
  </si>
  <si>
    <t>CrimsonAssassin</t>
  </si>
  <si>
    <t>Crimson Assassin</t>
  </si>
  <si>
    <t>https://raw.githubusercontent.com/BlackDragon2435/UnitsBGWiki/main/assets/CrimsonAssassin_Mythic.jpg</t>
  </si>
  <si>
    <t>Crystal crate #1, Crystal crate #4, Mythic box</t>
  </si>
  <si>
    <t>Viking</t>
  </si>
  <si>
    <t>Torturer</t>
  </si>
  <si>
    <t>https://raw.githubusercontent.com/BlackDragon2435/UnitsBGWiki/main/assets/Torturer_Mythic.jpg</t>
  </si>
  <si>
    <t>Rhythmclaw</t>
  </si>
  <si>
    <t>https://raw.githubusercontent.com/BlackDragon2435/UnitsBGWiki/main/assets/Rhythmclaw_Mythic.jpg</t>
  </si>
  <si>
    <t>ElvenAssassin</t>
  </si>
  <si>
    <t>Elven Assassin</t>
  </si>
  <si>
    <t>https://placehold.co/60x60/cccccc/333333?text=EA</t>
  </si>
  <si>
    <t>GoblinKingSmall</t>
  </si>
  <si>
    <t>Goblin King(Normal)</t>
  </si>
  <si>
    <t>https://placehold.co/60x60/cccccc/333333?text=GKS</t>
  </si>
  <si>
    <t>SmallPoseidon</t>
  </si>
  <si>
    <t>Poseidon(Normal)</t>
  </si>
  <si>
    <t>https://raw.githubusercontent.com/BlackDragon2435/UnitsBGWiki/main/assets/SmallPoseidon_Ancient.jpg</t>
  </si>
  <si>
    <t>Medusa</t>
  </si>
  <si>
    <t>https://raw.githubusercontent.com/BlackDragon2435/UnitsBGWiki/main/assets/Medusa_Demonic.jpg</t>
  </si>
  <si>
    <t>Epic box, Legendary box, Crystal crate #1, Mythic box</t>
  </si>
  <si>
    <t>KiMaster</t>
  </si>
  <si>
    <t>Ki Master</t>
  </si>
  <si>
    <t>https://placehold.co/60x60/cccccc/333333?text=KM</t>
  </si>
  <si>
    <t>Legendary box, Crystal crate #1</t>
  </si>
  <si>
    <t>DragonSlayer</t>
  </si>
  <si>
    <t>Dragon Slayer</t>
  </si>
  <si>
    <t>https://raw.githubusercontent.com/BlackDragon2435/UnitsBGWiki/main/assets/DragonSlayer_Mythic.jpg</t>
  </si>
  <si>
    <t>Crystal crate #3, Crystal crate #1, Crystal crate #4</t>
  </si>
  <si>
    <t>Angel</t>
  </si>
  <si>
    <t>https://raw.githubusercontent.com/BlackDragon2435/UnitsBGWiki/main/assets/Angel_Mythic.jpg</t>
  </si>
  <si>
    <t>DragonBerserker</t>
  </si>
  <si>
    <t>Dragon Berserker</t>
  </si>
  <si>
    <t>https://raw.githubusercontent.com/BlackDragon2435/UnitsBGWiki/main/assets/DragonBerserker_Legendary.jpg</t>
  </si>
  <si>
    <t>Crystal crate #3, Crystal crate #2, Crystal crate #1, Crystal crate #4, Mythic box</t>
  </si>
  <si>
    <t>Cowboy</t>
  </si>
  <si>
    <t>Viperfang</t>
  </si>
  <si>
    <t>https://raw.githubusercontent.com/BlackDragon2435/UnitsBGWiki/main/assets/Viperfang_Mythic.jpg</t>
  </si>
  <si>
    <t>Chaosflare</t>
  </si>
  <si>
    <t>https://raw.githubusercontent.com/BlackDragon2435/UnitsBGWiki/main/assets/Chaosflare_Demonic.jpg</t>
  </si>
  <si>
    <t>Thanatos</t>
  </si>
  <si>
    <t>https://raw.githubusercontent.com/BlackDragon2435/UnitsBGWiki/main/assets/Thanatos_Demonic.jpg</t>
  </si>
  <si>
    <t>Zeus</t>
  </si>
  <si>
    <t>https://placehold.co/60x60/cccccc/333333?text=Z</t>
  </si>
  <si>
    <t>DemonicCureflare</t>
  </si>
  <si>
    <t>Cureflare</t>
  </si>
  <si>
    <t>https://raw.githubusercontent.com/BlackDragon2435/UnitsBGWiki/main/assets/DemonicCureflare_Demonic.jpg</t>
  </si>
  <si>
    <t>PlagueDoctor</t>
  </si>
  <si>
    <t>Plague Doctor</t>
  </si>
  <si>
    <t>https://raw.githubusercontent.com/BlackDragon2435/UnitsBGWiki/main/assets/PlagueDoctor_Epic.jpg</t>
  </si>
  <si>
    <t>SkeletonSamurai</t>
  </si>
  <si>
    <t>Skeleton Samurai</t>
  </si>
  <si>
    <t>https://raw.githubusercontent.com/BlackDragon2435/UnitsBGWiki/main/assets/SkeletonSamurai_Epic.jpg</t>
  </si>
  <si>
    <t>https://placehold.co/60x60/cccccc/333333?text=T</t>
  </si>
  <si>
    <t>HeadlessKnight</t>
  </si>
  <si>
    <t>The Headless Knight(BossUnit)</t>
  </si>
  <si>
    <t>https://raw.githubusercontent.com/BlackDragon2435/UnitsBGWiki/main/assets/HeadlessKnight_Mythic.jpg</t>
  </si>
  <si>
    <t>Marksman</t>
  </si>
  <si>
    <t>https://raw.githubusercontent.com/BlackDragon2435/UnitsBGWiki/main/assets/Marksman_Mythic.jpg</t>
  </si>
  <si>
    <t>Surfer</t>
  </si>
  <si>
    <t>https://placehold.co/60x60/cccccc/333333?text=S</t>
  </si>
  <si>
    <t>PirateSailorShooter</t>
  </si>
  <si>
    <t>Sailor Shooter</t>
  </si>
  <si>
    <t>https://raw.githubusercontent.com/BlackDragon2435/UnitsBGWiki/main/assets/PirateSailorShooter_Uncommon.jpg</t>
  </si>
  <si>
    <t>CursedMagician</t>
  </si>
  <si>
    <t>Cursed Magician</t>
  </si>
  <si>
    <t>https://raw.githubusercontent.com/BlackDragon2435/UnitsBGWiki/main/assets/CursedMagician_Epic.jpg</t>
  </si>
  <si>
    <t>SeaDevil</t>
  </si>
  <si>
    <t>Sea Devil</t>
  </si>
  <si>
    <t>https://raw.githubusercontent.com/BlackDragon2435/UnitsBGWiki/main/assets/SeaDevil_Mythic.jpg</t>
  </si>
  <si>
    <t>Ent</t>
  </si>
  <si>
    <t>Ent(BossUnit)</t>
  </si>
  <si>
    <t>https://placehold.co/60x60/cccccc/333333?text=E</t>
  </si>
  <si>
    <t>Zombie</t>
  </si>
  <si>
    <t>https://raw.githubusercontent.com/BlackDragon2435/UnitsBGWiki/main/assets/Zombie_Uncommon.jpg</t>
  </si>
  <si>
    <t>Beginner box #1</t>
  </si>
  <si>
    <t>Noob</t>
  </si>
  <si>
    <t>Necromancer</t>
  </si>
  <si>
    <t>https://raw.githubusercontent.com/BlackDragon2435/UnitsBGWiki/main/assets/Necromancer_Mythic.jpg</t>
  </si>
  <si>
    <t>AncientVampire</t>
  </si>
  <si>
    <t>Ancient Vampire (Personal)</t>
  </si>
  <si>
    <t>https://raw.githubusercontent.com/BlackDragon2435/UnitsBGWiki/main/assets/AncientVampire_Demonic.jpg</t>
  </si>
  <si>
    <t>ChristmasElfSwordman</t>
  </si>
  <si>
    <t>Christmas Elf Swordman</t>
  </si>
  <si>
    <t>https://raw.githubusercontent.com/BlackDragon2435/UnitsBGWiki/main/assets/ChristmasElfSwordman_Legendary.jpg</t>
  </si>
  <si>
    <t>Ninja</t>
  </si>
  <si>
    <t>CageMan</t>
  </si>
  <si>
    <t>Cage Man</t>
  </si>
  <si>
    <t>https://raw.githubusercontent.com/BlackDragon2435/UnitsBGWiki/main/assets/CageMan_Mythic.jpg</t>
  </si>
  <si>
    <t>DwarfTank</t>
  </si>
  <si>
    <t>Dwarf Tank</t>
  </si>
  <si>
    <t>https://placehold.co/60x60/cccccc/333333?text=DT</t>
  </si>
  <si>
    <t>EntSmall</t>
  </si>
  <si>
    <t>Ent(Normal)</t>
  </si>
  <si>
    <t>https://raw.githubusercontent.com/BlackDragon2435/UnitsBGWiki/main/assets/EntSmall_Mythic.jpg</t>
  </si>
  <si>
    <t>Demolitionist</t>
  </si>
  <si>
    <t>BurnBomb</t>
  </si>
  <si>
    <t>EarthWizard</t>
  </si>
  <si>
    <t>Earth Wizard</t>
  </si>
  <si>
    <t>CrossbowMan</t>
  </si>
  <si>
    <t>Crossbow</t>
  </si>
  <si>
    <t>https://raw.githubusercontent.com/BlackDragon2435/UnitsBGWiki/main/assets/CrossbowMan_Rare.jpg</t>
  </si>
  <si>
    <t>Ghoul</t>
  </si>
  <si>
    <t>https://placehold.co/60x60/cccccc/333333?text=G</t>
  </si>
  <si>
    <t>SpookyGhost</t>
  </si>
  <si>
    <t>Spooky Ghost</t>
  </si>
  <si>
    <t>https://raw.githubusercontent.com/BlackDragon2435/UnitsBGWiki/main/assets/SpookyGhost_Epic.jpg</t>
  </si>
  <si>
    <t>SkeletonTank</t>
  </si>
  <si>
    <t>Skeleton Tank</t>
  </si>
  <si>
    <t>https://raw.githubusercontent.com/BlackDragon2435/UnitsBGWiki/main/assets/SkeletonTank_Rare.jpg</t>
  </si>
  <si>
    <t>DragonKnight</t>
  </si>
  <si>
    <t>Dragon Knight</t>
  </si>
  <si>
    <t>https://raw.githubusercontent.com/BlackDragon2435/UnitsBGWiki/main/assets/DragonKnight_Legendary.jpg</t>
  </si>
  <si>
    <t>ChristmasElfArcher</t>
  </si>
  <si>
    <t>Christmas Elf Archer</t>
  </si>
  <si>
    <t>https://raw.githubusercontent.com/BlackDragon2435/UnitsBGWiki/main/assets/ChristmasElfArcher_Legendary.jpg</t>
  </si>
  <si>
    <t>MadScientist</t>
  </si>
  <si>
    <t>Mad Scientist</t>
  </si>
  <si>
    <t>https://placehold.co/60x60/cccccc/333333?text=MS</t>
  </si>
  <si>
    <t>SkeletonWarrior</t>
  </si>
  <si>
    <t>Skeleton Warrior</t>
  </si>
  <si>
    <t>https://raw.githubusercontent.com/BlackDragon2435/UnitsBGWiki/main/assets/SkeletonWarrior_Uncommon.jpg</t>
  </si>
  <si>
    <t>Samurai</t>
  </si>
  <si>
    <t>BabyGoblinArcher</t>
  </si>
  <si>
    <t>Baby Archer</t>
  </si>
  <si>
    <t>https://placehold.co/60x60/cccccc/333333?text=BGA</t>
  </si>
  <si>
    <t>PirateCaptain</t>
  </si>
  <si>
    <t>Pirate Captain</t>
  </si>
  <si>
    <t>https://raw.githubusercontent.com/BlackDragon2435/UnitsBGWiki/main/assets/PirateCaptain_Epic.jpg</t>
  </si>
  <si>
    <t>PoolPartyBlaster</t>
  </si>
  <si>
    <t>Pool Party Blaster</t>
  </si>
  <si>
    <t>https://raw.githubusercontent.com/BlackDragon2435/UnitsBGWiki/main/assets/PoolPartyBlaster_Mythic.jpg</t>
  </si>
  <si>
    <t>Sniper</t>
  </si>
  <si>
    <t>Legendary box, Crystal crate #1, Crystal crate #4, Mythic box</t>
  </si>
  <si>
    <t>NoobThrower</t>
  </si>
  <si>
    <t>Noob Thrower</t>
  </si>
  <si>
    <t>https://placehold.co/60x60/cccccc/333333?text=NT</t>
  </si>
  <si>
    <t>Alchemist</t>
  </si>
  <si>
    <t>Legendary box</t>
  </si>
  <si>
    <t>Cryomancer</t>
  </si>
  <si>
    <t>https://raw.githubusercontent.com/BlackDragon2435/UnitsBGWiki/main/assets/Cryomancer_Epic.jpg</t>
  </si>
  <si>
    <t>DeadCannoneer</t>
  </si>
  <si>
    <t>Dead Cannoneer</t>
  </si>
  <si>
    <t>https://placehold.co/60x60/cccccc/333333?text=DC</t>
  </si>
  <si>
    <t>GoblinWarrior</t>
  </si>
  <si>
    <t>Goblin Warrior</t>
  </si>
  <si>
    <t>https://raw.githubusercontent.com/BlackDragon2435/UnitsBGWiki/main/assets/GoblinWarrior_Uncommon.jpg</t>
  </si>
  <si>
    <t>TheAdmiralSmall</t>
  </si>
  <si>
    <t>The Admiral of Death(Normal)</t>
  </si>
  <si>
    <t>https://raw.githubusercontent.com/BlackDragon2435/UnitsBGWiki/main/assets/TheAdmiralSmall_Mythic.jpg</t>
  </si>
  <si>
    <t>LivingArmor</t>
  </si>
  <si>
    <t>Living Armor(Normal)</t>
  </si>
  <si>
    <t>https://raw.githubusercontent.com/BlackDragon2435/UnitsBGWiki/main/assets/LivingArmor_Mythic.jpg</t>
  </si>
  <si>
    <t>SmallAncientVampire</t>
  </si>
  <si>
    <t>Ancient Vampire</t>
  </si>
  <si>
    <t>https://raw.githubusercontent.com/BlackDragon2435/UnitsBGWiki/main/assets/SmallAncientVampire_Demonic.jpg</t>
  </si>
  <si>
    <t>LivingMummy</t>
  </si>
  <si>
    <t>Living Mummy</t>
  </si>
  <si>
    <t>https://raw.githubusercontent.com/BlackDragon2435/UnitsBGWiki/main/assets/LivingMummy_Legendary.jpg</t>
  </si>
  <si>
    <t>https://raw.githubusercontent.com/BlackDragon2435/UnitsBGWiki/main/assets/Warrior_Uncommon.jpg</t>
  </si>
  <si>
    <t>FrostWizard</t>
  </si>
  <si>
    <t>Frost Wizard</t>
  </si>
  <si>
    <t>https://placehold.co/60x60/cccccc/333333?text=FW</t>
  </si>
  <si>
    <t>InfernoArcher</t>
  </si>
  <si>
    <t>Inferno Archer</t>
  </si>
  <si>
    <t>https://raw.githubusercontent.com/BlackDragon2435/UnitsBGWiki/main/assets/InfernoArcher_Demonic.jpg</t>
  </si>
  <si>
    <t>Jack</t>
  </si>
  <si>
    <t>https://placehold.co/60x60/cccccc/333333?text=J</t>
  </si>
  <si>
    <t>Bomber</t>
  </si>
  <si>
    <t>https://raw.githubusercontent.com/BlackDragon2435/UnitsBGWiki/main/assets/Bomber_Legendary.jpg</t>
  </si>
  <si>
    <t>PirateMedic</t>
  </si>
  <si>
    <t>Pirate Medic</t>
  </si>
  <si>
    <t>https://raw.githubusercontent.com/BlackDragon2435/UnitsBGWiki/main/assets/PirateMedic_Rare.jpg</t>
  </si>
  <si>
    <t>GoldenKnight</t>
  </si>
  <si>
    <t>Golden Knight</t>
  </si>
  <si>
    <t>https://placehold.co/60x60/cccccc/333333?text=GK</t>
  </si>
  <si>
    <t>Legendary box, Crystal crate #3, Crystal crate #2, Crystal crate #1, Crystal crate #4, Mythic box</t>
  </si>
  <si>
    <t>Spartan</t>
  </si>
  <si>
    <t>YukiOnna</t>
  </si>
  <si>
    <t>Yoki Onna</t>
  </si>
  <si>
    <t>https://raw.githubusercontent.com/BlackDragon2435/UnitsBGWiki/main/assets/YukiOnna_Mythic.jpg</t>
  </si>
  <si>
    <t>Druid</t>
  </si>
  <si>
    <t>Beachcomber</t>
  </si>
  <si>
    <t>https://raw.githubusercontent.com/BlackDragon2435/UnitsBGWiki/main/assets/Beachcomber_Legendary.jpg</t>
  </si>
  <si>
    <t>Therapist</t>
  </si>
  <si>
    <t>https://raw.githubusercontent.com/BlackDragon2435/UnitsBGWiki/main/assets/Therapist_Rare.jpg</t>
  </si>
  <si>
    <t>Beginner box #2, Epic box</t>
  </si>
  <si>
    <t>SaintNicholas</t>
  </si>
  <si>
    <t>Saint Nicholas</t>
  </si>
  <si>
    <t>https://raw.githubusercontent.com/BlackDragon2435/UnitsBGWiki/main/assets/SaintNicholas_Demonic.jpg</t>
  </si>
  <si>
    <t>TheReaperSmall</t>
  </si>
  <si>
    <t>The Reaper(Normal)</t>
  </si>
  <si>
    <t>https://raw.githubusercontent.com/BlackDragon2435/UnitsBGWiki/main/assets/TheReaperSmall_Mythic.jpg</t>
  </si>
  <si>
    <t>BattleWizard</t>
  </si>
  <si>
    <t>Battle Wizard</t>
  </si>
  <si>
    <t>https://raw.githubusercontent.com/BlackDragon2435/UnitsBGWiki/main/assets/BattleWizard_Rare.jpg</t>
  </si>
  <si>
    <t>SkeletonArcher</t>
  </si>
  <si>
    <t>Skeleton Archer</t>
  </si>
  <si>
    <t>NoobSmall(Summon)</t>
  </si>
  <si>
    <t>https://placehold.co/60x60/cccccc/333333?text=NS(S)</t>
  </si>
  <si>
    <t>Jolasveinar(Summon)</t>
  </si>
  <si>
    <t>Yule Lad</t>
  </si>
  <si>
    <t>https://placehold.co/60x60/cccccc/333333?text=J(S)</t>
  </si>
  <si>
    <t>NecromancerWarrior(Summon)</t>
  </si>
  <si>
    <t>https://placehold.co/60x60/cccccc/333333?text=NW(S)</t>
  </si>
  <si>
    <t>SummonerBattleWizard(Summon)</t>
  </si>
  <si>
    <t>https://placehold.co/60x60/cccccc/333333?text=SBW(S)</t>
  </si>
  <si>
    <t>NecromancerArcher(Summon)</t>
  </si>
  <si>
    <t>https://placehold.co/60x60/cccccc/333333?text=NA(S)</t>
  </si>
  <si>
    <t>Tier</t>
  </si>
  <si>
    <t>NumericalRank</t>
  </si>
  <si>
    <t>Notes</t>
  </si>
  <si>
    <t>Form-Filling Instructions
1. Assign a Rank (1–1000)
   - Enter a numerical value between 1 (lowest) and 100 (highest).
   - Include a brief explanation only if there’s a reason for why you gave that rank.</t>
  </si>
  <si>
    <t>Great tank, built-in 25% damage reflect. Outclassed by a few high dmg warriors.</t>
  </si>
  <si>
    <t>Great replacement for marksman, high single target damage.</t>
  </si>
  <si>
    <t>AoE-targeted heals and slight buff. Better then alchemist and more comparable to Saint</t>
  </si>
  <si>
    <t>Worst charming unit. Outclassed by every other charmer by miles.</t>
  </si>
  <si>
    <t>This Is A Boss Unit (Unobtainable)</t>
  </si>
  <si>
    <t>Arguably the most effective charmer, fastest attack rate keeping 100% uptime on a charmed unit at max level. Lacks HP.</t>
  </si>
  <si>
    <t>Best summoner, can swarm enemies with Jolasveinar and overwhelm non-aoe compositions.</t>
  </si>
  <si>
    <t>Decent tank, heals by 30 HP per attack. Outclassed by many higher-tier demonics.</t>
  </si>
  <si>
    <t>Only support that doesn't heal at all and buff is very minimal. (Has the coolest soundtrack though)</t>
  </si>
  <si>
    <t>Heals the whole team, buffs damage and atkrate by 30%. (Untradeable)</t>
  </si>
  <si>
    <t>Very good early game option at the mythic level. High range and damage and also hits multiple targets. Easy obtainable</t>
  </si>
  <si>
    <t xml:space="preserve">Worse then bard and harder to obtain </t>
  </si>
  <si>
    <t xml:space="preserve">Best option for a healer untill cureflare. Lacks aoe heals but good dps </t>
  </si>
  <si>
    <t xml:space="preserve">Best mythic out of the non boss crates. Good aoe damage and best ranger option untill you expand into Poseidon and boss crate mythics </t>
  </si>
  <si>
    <t>Insanely overpowered warrior option for an epic. Better then every warrior mythic and below due to its crazy hp loss abilty (Berserker mode)</t>
  </si>
  <si>
    <t>2nd best healer in the game, can heal all units on team and provides a 20% damage buff.</t>
  </si>
  <si>
    <t>Pretty much tied for dps with Poseidon, very useful as a shoe-in for Black Dragon, better usage than Jack.</t>
  </si>
  <si>
    <t>Only obtained from robux or boss crate from wizard toward. Worse version of yoki onna with aoe and debuff</t>
  </si>
  <si>
    <t>Best unit in the game when maxed, berserker innate buffs and massive HP pool make this unit a must-have.</t>
  </si>
  <si>
    <t>3rd best buffer in the game yet harder to obtain compared to Rhythmclaw.</t>
  </si>
  <si>
    <t>A little worse then viperfang and way harder to obtain.</t>
  </si>
  <si>
    <t xml:space="preserve">2nd best buffer in the game. Not needed in the more endgame stages but not as marginally worse compared to triton. Is a good unit to use at any stage of the game though </t>
  </si>
  <si>
    <t>3rd best warrior in the game, possibly the best when the right mod is on him. Similar passives to BD but includes an aoe-splash attack.</t>
  </si>
  <si>
    <t>Best ranger to get for most players, fairly reasonable to acquire. Shoots 6 enemies and does one of the highest dps in the game when maxed.</t>
  </si>
  <si>
    <t xml:space="preserve">Easy obtainable healer. Isn't a very great healer due to only healing one target at a time with low dps because of being mythic </t>
  </si>
  <si>
    <t>The 2nd best warrior under mythic right below Sharkman. Very good beserker mode abilty and stats very close in comparison to other warriors mythic and legendary rarity)</t>
  </si>
  <si>
    <t>Very cheap and great option for an assassin if you don't have Thanatos or ancient vampire. Gap between them is marginally big though. Good early game carry</t>
  </si>
  <si>
    <t>Tanky wizard that outclasses top rangers at lower levels and is fairly easy to obtain. Shines in endless</t>
  </si>
  <si>
    <t>Best Assassin in the game, high-survivability and damage slightly more HP/damage &amp; slightly lower HP/s than Ancient Vampire. A must-have for crimson nest.</t>
  </si>
  <si>
    <t>Best alternative to Chaosflare. High HP, useful as a pseudotank with Titan mod. Very high DPS but lacks projectile speed for fast clear times.</t>
  </si>
  <si>
    <t>Late game demonic healer from crimson crates that targets two units. Highest dps in the game of a healer but falls short due to no buff and no aoe heals</t>
  </si>
  <si>
    <t>Heals the whole team, buffs damage and atkrate by 30%. BEST end-game healer with Lightning and a team with high sustain.</t>
  </si>
  <si>
    <t>Extremely slow attack rate, better legendary and epic options at the ranged unit position that even easier to obtain</t>
  </si>
  <si>
    <t>A golden knight with a little more hp and a stun</t>
  </si>
  <si>
    <t xml:space="preserve">Best pre demonic tank option you can have with good damage reflect,a bit of range and healing per hit </t>
  </si>
  <si>
    <t>Trash until lvl 21</t>
  </si>
  <si>
    <t>Best Assassin in the game, high-survivability and damage. A must-have for crimson nest. (Untradeable)</t>
  </si>
  <si>
    <t>Out of the eleven crate a slightly tankier golden knight</t>
  </si>
  <si>
    <t>Very good pre demonic level tank option.</t>
  </si>
  <si>
    <t>Golden knight with a little more hp and a heal on hit and slight damage reflect</t>
  </si>
  <si>
    <t>worse than Noob, because it doesn't even get the lvl 21 benefit</t>
  </si>
  <si>
    <t xml:space="preserve">Weaker version of bartender but a good healer/buff option </t>
  </si>
  <si>
    <t>Best Assassin in the game, high-survivability and damage. A must-have for crimson nest.</t>
  </si>
  <si>
    <t>Golden knight with a heal on hit</t>
  </si>
  <si>
    <t>Mostly dominates in PvP. Marginally worse then Chaosflare and Medusa. VERY useful unit for Headless/Boss fights.</t>
  </si>
  <si>
    <t>WORST berserker-type demonic, outclassed by many different iterations of itself.</t>
  </si>
  <si>
    <t>Reliable tank,easy to obtain from crates at the legendary rarity.</t>
  </si>
  <si>
    <t>Best single target/piercing frost debuffer, marginal upgrade to Ice Queen. Hinders enemy tanks/warriors heavily.</t>
  </si>
  <si>
    <t>Heals the whole team, buffs damage by 22%</t>
  </si>
  <si>
    <t>same as reg noob</t>
  </si>
  <si>
    <t>garbage summon</t>
  </si>
  <si>
    <t>ModName</t>
  </si>
  <si>
    <t>Title</t>
  </si>
  <si>
    <t>Amount</t>
  </si>
  <si>
    <t>Chance</t>
  </si>
  <si>
    <t>Stat</t>
  </si>
  <si>
    <t>Effect</t>
  </si>
  <si>
    <t>Default</t>
  </si>
  <si>
    <t>Default unit properties</t>
  </si>
  <si>
    <t>SmallDamage</t>
  </si>
  <si>
    <t>Strong</t>
  </si>
  <si>
    <t>Increase Damage by 10%</t>
  </si>
  <si>
    <t>SmallHP</t>
  </si>
  <si>
    <t>Life</t>
  </si>
  <si>
    <t>Increase HP by 10%</t>
  </si>
  <si>
    <t>SmallCooldown</t>
  </si>
  <si>
    <t>Fast</t>
  </si>
  <si>
    <t>Increase Cooldown by -10%</t>
  </si>
  <si>
    <t>SmallFrost</t>
  </si>
  <si>
    <t>Slows movement by 30% and slows attack speed by 25% for 2s</t>
  </si>
  <si>
    <t>SmallPoison</t>
  </si>
  <si>
    <t>Toxic</t>
  </si>
  <si>
    <t>Periodic damage 2 HP every 0.3s 8 times</t>
  </si>
  <si>
    <t>SmallFire</t>
  </si>
  <si>
    <t>Periodic damage 5 HP every 0.8s 3 times</t>
  </si>
  <si>
    <t>MediumHP</t>
  </si>
  <si>
    <t>Big</t>
  </si>
  <si>
    <t>Increase HP by 25%</t>
  </si>
  <si>
    <t>MediumMirror</t>
  </si>
  <si>
    <t>Hedgehog</t>
  </si>
  <si>
    <t>Mirror</t>
  </si>
  <si>
    <t>Return 15% damage to attacker</t>
  </si>
  <si>
    <t>MediumAccuracy</t>
  </si>
  <si>
    <t>Exact</t>
  </si>
  <si>
    <t>Increase Accuracy by 15%</t>
  </si>
  <si>
    <t>MediumCooldown</t>
  </si>
  <si>
    <t>Trickster</t>
  </si>
  <si>
    <t>Increase Cooldown by -20%</t>
  </si>
  <si>
    <t>MediumDamage</t>
  </si>
  <si>
    <t>Bodybuilder</t>
  </si>
  <si>
    <t>Increase Damage by 25%</t>
  </si>
  <si>
    <t>SmallLifesteal</t>
  </si>
  <si>
    <t>Leech</t>
  </si>
  <si>
    <t>Heals by 10 HP for each attack</t>
  </si>
  <si>
    <t>MediumFire</t>
  </si>
  <si>
    <t>Armageddon</t>
  </si>
  <si>
    <t>Periodic damage 10 HP every 0.5s 3 times</t>
  </si>
  <si>
    <t>MediumCritDamageCoeff</t>
  </si>
  <si>
    <t>Critical</t>
  </si>
  <si>
    <t>CritDamageCoeff</t>
  </si>
  <si>
    <t>Increase Crit Damage Coeff by 25%</t>
  </si>
  <si>
    <t>MediumPoison</t>
  </si>
  <si>
    <t>Viper</t>
  </si>
  <si>
    <t>Periodic damage 3 HP every 0.25s 10 times</t>
  </si>
  <si>
    <t>MediumFrost</t>
  </si>
  <si>
    <t>Blizzard</t>
  </si>
  <si>
    <t>Slows movement by 50% and slows attack speed by 25% for 3s</t>
  </si>
  <si>
    <t>MediumEvadeChance</t>
  </si>
  <si>
    <t>Dexterous</t>
  </si>
  <si>
    <t>Increase Evade Chance by 20%</t>
  </si>
  <si>
    <t>MediumCritChance</t>
  </si>
  <si>
    <t>Accurate</t>
  </si>
  <si>
    <t>Increase Crit Chance by 20%</t>
  </si>
  <si>
    <t>LargeDamage</t>
  </si>
  <si>
    <t>Powerful</t>
  </si>
  <si>
    <t>Increase Damage by 50%</t>
  </si>
  <si>
    <t>LargeCooldown</t>
  </si>
  <si>
    <t>Lightning</t>
  </si>
  <si>
    <t>Increase Cooldown by -35%</t>
  </si>
  <si>
    <t>LargeHP</t>
  </si>
  <si>
    <t>Titan</t>
  </si>
  <si>
    <t>Increase HP by 50%</t>
  </si>
  <si>
    <t>LargeAccuracy</t>
  </si>
  <si>
    <t>Increase Accuracy by 50%</t>
  </si>
  <si>
    <t>LargeMirror</t>
  </si>
  <si>
    <t>Return 35% damage to attacker</t>
  </si>
  <si>
    <t>LargeCritChance</t>
  </si>
  <si>
    <t>Increase Crit Chance by 35%</t>
  </si>
  <si>
    <t>LargeCritDamageCoeff</t>
  </si>
  <si>
    <t>Executor</t>
  </si>
  <si>
    <t>Increase Crit Damage Coeff by 60%</t>
  </si>
  <si>
    <t>LargeEvadeChance</t>
  </si>
  <si>
    <t>Joker</t>
  </si>
  <si>
    <t>Increase Evade Chance by 35%</t>
  </si>
  <si>
    <t>MediumLifesteal</t>
  </si>
  <si>
    <t>Heals by 25 HP for each attack</t>
  </si>
  <si>
    <t>Demonic leveling costs, F2P</t>
  </si>
  <si>
    <t>Demonic level costs, 2x upgrade chance GP</t>
  </si>
  <si>
    <t>Demonic level costs, 2x upgrade chance GP + Hammer UGC</t>
  </si>
  <si>
    <t>Level</t>
  </si>
  <si>
    <t>Percent</t>
  </si>
  <si>
    <t>Cost per Click</t>
  </si>
  <si>
    <t>Percent Check</t>
  </si>
  <si>
    <t>Lucky Cost (61%)</t>
  </si>
  <si>
    <t>Average Cost (71%)</t>
  </si>
  <si>
    <t>Unlucky Cost (85% chance)</t>
  </si>
  <si>
    <t>level</t>
  </si>
  <si>
    <t>percent</t>
  </si>
  <si>
    <t>cost</t>
  </si>
  <si>
    <t>percent chance check</t>
  </si>
  <si>
    <t>total (61% chance)</t>
  </si>
  <si>
    <t>avg</t>
  </si>
  <si>
    <t>unlucky total  (85% chance)</t>
  </si>
  <si>
    <t>Total Cost 1-25</t>
  </si>
  <si>
    <t>By Ethan</t>
  </si>
  <si>
    <t>x2 Costs for Ancients</t>
  </si>
  <si>
    <t>1/3 Costs for Mythics</t>
  </si>
  <si>
    <t>Missing + Horned Helmet Calcs</t>
  </si>
  <si>
    <t>Coins Spent</t>
  </si>
  <si>
    <t>Chances of Medusa/Commander/Demon</t>
  </si>
  <si>
    <t>Chances of Saint/Omela</t>
  </si>
  <si>
    <t>700 cost coconut crate, 0.07% Triton</t>
  </si>
  <si>
    <t>1800 cost coconut crate, 0.11% Triton</t>
  </si>
  <si>
    <t>1800 Coconut Crate, 0.05% Poseidon</t>
  </si>
  <si>
    <t>Coconuts Spent</t>
  </si>
  <si>
    <t>Chances of Triton</t>
  </si>
  <si>
    <t>Chances of Poseidon</t>
  </si>
  <si>
    <t>~75% is avg</t>
  </si>
  <si>
    <t>import pandas as pd</t>
  </si>
  <si>
    <t># Provided data from the user's code</t>
  </si>
  <si>
    <t>level_to_chance = {</t>
  </si>
  <si>
    <t>11: 5</t>
  </si>
  <si>
    <t>12: 4</t>
  </si>
  <si>
    <t>13: 3</t>
  </si>
  <si>
    <t>14: 2</t>
  </si>
  <si>
    <t>15: 1</t>
  </si>
  <si>
    <t>16: 0.8</t>
  </si>
  <si>
    <t>17: 0.6</t>
  </si>
  <si>
    <t>18: 0.4</t>
  </si>
  <si>
    <t>19: 0.2</t>
  </si>
  <si>
    <t>20: 0.1</t>
  </si>
  <si>
    <t>21: 0.1</t>
  </si>
  <si>
    <t>22: 0.1</t>
  </si>
  <si>
    <t>23: 0.1</t>
  </si>
  <si>
    <t>24: 0.1</t>
  </si>
  <si>
    <t>25: 0.1</t>
  </si>
  <si>
    <t>}</t>
  </si>
  <si>
    <t># The boost multipliers from the user's code</t>
  </si>
  <si>
    <t>chance_x2_pass = 2</t>
  </si>
  <si>
    <t>ugc_chance_x2 = 2 # The UGC item also provides a 2x boost</t>
  </si>
  <si>
    <t># Initialize a list to hold the data for the sheet</t>
  </si>
  <si>
    <t>data = []</t>
  </si>
  <si>
    <t># Loop through each level from 1 to 24 to calculate the chance to get to the next level</t>
  </si>
  <si>
    <t>for level in range(1</t>
  </si>
  <si>
    <t>25):</t>
  </si>
  <si>
    <t>base_chance = level_to_chance[level + 1]</t>
  </si>
  <si>
    <t>chance_with_pass = min(base_chance * chance_x2_pass</t>
  </si>
  <si>
    <t>100)</t>
  </si>
  <si>
    <t>chance_with_ugc = min(base_chance * ugc_chance_x2</t>
  </si>
  <si>
    <t>chance_with_both = min(base_chance * chance_x2_pass * ugc_chance_x2</t>
  </si>
  <si>
    <t>data.append([</t>
  </si>
  <si>
    <t>f'Level {level} -&gt; {level + 1}'</t>
  </si>
  <si>
    <t>base_chance</t>
  </si>
  <si>
    <t>chance_with_pass</t>
  </si>
  <si>
    <t>chance_with_ugc</t>
  </si>
  <si>
    <t>chance_with_both</t>
  </si>
  <si>
    <t>])</t>
  </si>
  <si>
    <t># Create a DataFrame from the data</t>
  </si>
  <si>
    <t>df = pd.DataFrame(data</t>
  </si>
  <si>
    <t>columns=[</t>
  </si>
  <si>
    <t>Upgrade'</t>
  </si>
  <si>
    <t>Base Chance (%)'</t>
  </si>
  <si>
    <t>Chance with Pass (%)'</t>
  </si>
  <si>
    <t>Chance with UGC (%)'</t>
  </si>
  <si>
    <t>Chance with Both Boosts (%)'</t>
  </si>
  <si>
    <t># Output the DataFrame to a CSV file</t>
  </si>
  <si>
    <t>df.to_csv('unit_upgrade_chances.csv'</t>
  </si>
  <si>
    <t>index=False)</t>
  </si>
  <si>
    <t>print("CSV file 'unit_upgrade_chances.csv' created successfully.")</t>
  </si>
  <si>
    <t>print(df.to_string())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</si>
</sst>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Comic Sans MS"/>
    </font>
    <font>
      <color theme="1"/>
      <name val="Comic Sans MS"/>
    </font>
    <font>
      <b/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C4C3F7"/>
        <bgColor rgb="FFC4C3F7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C4E2A0"/>
        <bgColor rgb="FFC4E2A0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1" numFmtId="0" xfId="0" applyAlignment="1" applyFon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3" fontId="1" numFmtId="0" xfId="0" applyAlignment="1" applyFont="1">
      <alignment shrinkToFit="0" wrapText="1"/>
    </xf>
    <xf borderId="0" fillId="4" fontId="1" numFmtId="0" xfId="0" applyAlignment="1" applyFill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1" numFmtId="0" xfId="0" applyAlignment="1" applyFont="1">
      <alignment shrinkToFit="0" wrapText="1"/>
    </xf>
    <xf borderId="0" fillId="5" fontId="1" numFmtId="0" xfId="0" applyAlignment="1" applyFill="1" applyFont="1">
      <alignment shrinkToFit="0" wrapText="1"/>
    </xf>
    <xf borderId="0" fillId="5" fontId="1" numFmtId="0" xfId="0" applyAlignment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2" fontId="5" numFmtId="0" xfId="0" applyAlignment="1" applyFont="1">
      <alignment shrinkToFit="0" wrapText="1"/>
    </xf>
    <xf borderId="0" fillId="2" fontId="5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3" fontId="5" numFmtId="0" xfId="0" applyAlignment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4" fontId="5" numFmtId="0" xfId="0" applyAlignment="1" applyFont="1">
      <alignment readingOrder="0" shrinkToFit="0" wrapText="1"/>
    </xf>
    <xf borderId="0" fillId="4" fontId="5" numFmtId="0" xfId="0" applyAlignment="1" applyFont="1">
      <alignment shrinkToFit="0" wrapText="1"/>
    </xf>
    <xf borderId="0" fillId="4" fontId="4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3" fontId="4" numFmtId="0" xfId="0" applyAlignment="1" applyFont="1">
      <alignment shrinkToFit="0" wrapText="1"/>
    </xf>
    <xf borderId="0" fillId="3" fontId="5" numFmtId="0" xfId="0" applyAlignment="1" applyFont="1">
      <alignment readingOrder="0" shrinkToFit="0" wrapText="1"/>
    </xf>
    <xf borderId="0" fillId="3" fontId="4" numFmtId="0" xfId="0" applyAlignment="1" applyFont="1">
      <alignment shrinkToFit="0" wrapText="1"/>
    </xf>
    <xf borderId="0" fillId="4" fontId="4" numFmtId="0" xfId="0" applyAlignment="1" applyFont="1">
      <alignment shrinkToFit="0" wrapText="1"/>
    </xf>
    <xf borderId="0" fillId="5" fontId="5" numFmtId="0" xfId="0" applyAlignment="1" applyFont="1">
      <alignment shrinkToFit="0" wrapText="1"/>
    </xf>
    <xf borderId="0" fillId="5" fontId="4" numFmtId="0" xfId="0" applyAlignment="1" applyFont="1">
      <alignment shrinkToFit="0" wrapText="1"/>
    </xf>
    <xf borderId="0" fillId="6" fontId="6" numFmtId="0" xfId="0" applyAlignment="1" applyFill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6" fontId="6" numFmtId="0" xfId="0" applyAlignment="1" applyFont="1">
      <alignment shrinkToFit="0" wrapText="1"/>
    </xf>
    <xf borderId="0" fillId="7" fontId="1" numFmtId="0" xfId="0" applyAlignment="1" applyFill="1" applyFont="1">
      <alignment readingOrder="0" shrinkToFit="0" wrapText="1"/>
    </xf>
    <xf borderId="0" fillId="7" fontId="1" numFmtId="0" xfId="0" applyAlignment="1" applyFont="1">
      <alignment shrinkToFit="0" wrapText="1"/>
    </xf>
    <xf borderId="0" fillId="8" fontId="1" numFmtId="0" xfId="0" applyAlignment="1" applyFill="1" applyFont="1">
      <alignment shrinkToFit="0" wrapText="1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7" numFmtId="3" xfId="0" applyAlignment="1" applyFont="1" applyNumberFormat="1">
      <alignment readingOrder="0" vertical="bottom"/>
    </xf>
    <xf borderId="0" fillId="0" fontId="7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  <dxf>
      <font>
        <color rgb="FF000000"/>
      </font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0000FF"/>
          <bgColor rgb="FF0000FF"/>
        </patternFill>
      </fill>
      <border/>
    </dxf>
    <dxf>
      <font>
        <color rgb="FF000000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lacehold.co/60x60/cccccc/333333?text=EW" TargetMode="External"/><Relationship Id="rId42" Type="http://schemas.openxmlformats.org/officeDocument/2006/relationships/hyperlink" Target="https://placehold.co/60x60/cccccc/333333?text=A" TargetMode="External"/><Relationship Id="rId41" Type="http://schemas.openxmlformats.org/officeDocument/2006/relationships/hyperlink" Target="https://placehold.co/60x60/cccccc/333333?text=N" TargetMode="External"/><Relationship Id="rId44" Type="http://schemas.openxmlformats.org/officeDocument/2006/relationships/hyperlink" Target="https://placehold.co/60x60/cccccc/333333?text=H" TargetMode="External"/><Relationship Id="rId43" Type="http://schemas.openxmlformats.org/officeDocument/2006/relationships/hyperlink" Target="https://raw.githubusercontent.com/BlackDragon2435/UnitsBGWiki/main/assets/GoblinArcher_Uncommon.jpg" TargetMode="External"/><Relationship Id="rId46" Type="http://schemas.openxmlformats.org/officeDocument/2006/relationships/hyperlink" Target="https://raw.githubusercontent.com/BlackDragon2435/UnitsBGWiki/main/assets/Sharkman_Epic.jpg" TargetMode="External"/><Relationship Id="rId45" Type="http://schemas.openxmlformats.org/officeDocument/2006/relationships/hyperlink" Target="https://raw.githubusercontent.com/BlackDragon2435/UnitsBGWiki/main/assets/Bandit_Mythic.jpg" TargetMode="External"/><Relationship Id="rId107" Type="http://schemas.openxmlformats.org/officeDocument/2006/relationships/hyperlink" Target="https://raw.githubusercontent.com/BlackDragon2435/UnitsBGWiki/main/assets/AncientVampire_Demonic.jpg" TargetMode="External"/><Relationship Id="rId106" Type="http://schemas.openxmlformats.org/officeDocument/2006/relationships/hyperlink" Target="https://raw.githubusercontent.com/BlackDragon2435/UnitsBGWiki/main/assets/Necromancer_Mythic.jpg" TargetMode="External"/><Relationship Id="rId105" Type="http://schemas.openxmlformats.org/officeDocument/2006/relationships/hyperlink" Target="https://placehold.co/60x60/cccccc/333333?text=N" TargetMode="External"/><Relationship Id="rId104" Type="http://schemas.openxmlformats.org/officeDocument/2006/relationships/hyperlink" Target="https://raw.githubusercontent.com/BlackDragon2435/UnitsBGWiki/main/assets/Zombie_Uncommon.jpg" TargetMode="External"/><Relationship Id="rId109" Type="http://schemas.openxmlformats.org/officeDocument/2006/relationships/hyperlink" Target="https://placehold.co/60x60/cccccc/333333?text=N" TargetMode="External"/><Relationship Id="rId108" Type="http://schemas.openxmlformats.org/officeDocument/2006/relationships/hyperlink" Target="https://raw.githubusercontent.com/BlackDragon2435/UnitsBGWiki/main/assets/ChristmasElfSwordman_Legendary.jpg" TargetMode="External"/><Relationship Id="rId48" Type="http://schemas.openxmlformats.org/officeDocument/2006/relationships/hyperlink" Target="https://raw.githubusercontent.com/BlackDragon2435/UnitsBGWiki/main/assets/Gladiator_Epic.jpg" TargetMode="External"/><Relationship Id="rId47" Type="http://schemas.openxmlformats.org/officeDocument/2006/relationships/hyperlink" Target="https://raw.githubusercontent.com/BlackDragon2435/UnitsBGWiki/main/assets/Squire_Rare.jpg" TargetMode="External"/><Relationship Id="rId49" Type="http://schemas.openxmlformats.org/officeDocument/2006/relationships/hyperlink" Target="https://placehold.co/60x60/cccccc/333333?text=SD" TargetMode="External"/><Relationship Id="rId103" Type="http://schemas.openxmlformats.org/officeDocument/2006/relationships/hyperlink" Target="https://placehold.co/60x60/cccccc/333333?text=E" TargetMode="External"/><Relationship Id="rId102" Type="http://schemas.openxmlformats.org/officeDocument/2006/relationships/hyperlink" Target="https://raw.githubusercontent.com/BlackDragon2435/UnitsBGWiki/main/assets/SeaDevil_Mythic.jpg" TargetMode="External"/><Relationship Id="rId101" Type="http://schemas.openxmlformats.org/officeDocument/2006/relationships/hyperlink" Target="https://raw.githubusercontent.com/BlackDragon2435/UnitsBGWiki/main/assets/CursedMagician_Epic.jpg" TargetMode="External"/><Relationship Id="rId100" Type="http://schemas.openxmlformats.org/officeDocument/2006/relationships/hyperlink" Target="https://raw.githubusercontent.com/BlackDragon2435/UnitsBGWiki/main/assets/PirateSailorShooter_Uncommon.jpg" TargetMode="External"/><Relationship Id="rId31" Type="http://schemas.openxmlformats.org/officeDocument/2006/relationships/hyperlink" Target="https://raw.githubusercontent.com/BlackDragon2435/UnitsBGWiki/main/assets/NoobOnTheBeach_Legendary.jpg" TargetMode="External"/><Relationship Id="rId30" Type="http://schemas.openxmlformats.org/officeDocument/2006/relationships/hyperlink" Target="https://raw.githubusercontent.com/BlackDragon2435/UnitsBGWiki/main/assets/FireArcher_Epic.jpg" TargetMode="External"/><Relationship Id="rId33" Type="http://schemas.openxmlformats.org/officeDocument/2006/relationships/hyperlink" Target="https://raw.githubusercontent.com/BlackDragon2435/UnitsBGWiki/main/assets/DarkHerald_Mythic.jpg" TargetMode="External"/><Relationship Id="rId32" Type="http://schemas.openxmlformats.org/officeDocument/2006/relationships/hyperlink" Target="https://raw.githubusercontent.com/BlackDragon2435/UnitsBGWiki/main/assets/GoblinShaman_Rare.jpg" TargetMode="External"/><Relationship Id="rId35" Type="http://schemas.openxmlformats.org/officeDocument/2006/relationships/hyperlink" Target="https://placehold.co/60x60/cccccc/333333?text=C" TargetMode="External"/><Relationship Id="rId34" Type="http://schemas.openxmlformats.org/officeDocument/2006/relationships/hyperlink" Target="https://raw.githubusercontent.com/BlackDragon2435/UnitsBGWiki/main/assets/Vampire_Epic.jpg" TargetMode="External"/><Relationship Id="rId37" Type="http://schemas.openxmlformats.org/officeDocument/2006/relationships/hyperlink" Target="https://raw.githubusercontent.com/BlackDragon2435/UnitsBGWiki/main/assets/Barbarian_Epic.jpg" TargetMode="External"/><Relationship Id="rId36" Type="http://schemas.openxmlformats.org/officeDocument/2006/relationships/hyperlink" Target="https://raw.githubusercontent.com/BlackDragon2435/UnitsBGWiki/main/assets/Crabman_Epic.jpg" TargetMode="External"/><Relationship Id="rId39" Type="http://schemas.openxmlformats.org/officeDocument/2006/relationships/hyperlink" Target="https://raw.githubusercontent.com/BlackDragon2435/UnitsBGWiki/main/assets/Spearman_Rare.jpg" TargetMode="External"/><Relationship Id="rId38" Type="http://schemas.openxmlformats.org/officeDocument/2006/relationships/hyperlink" Target="https://placehold.co/60x60/cccccc/333333?text=TR" TargetMode="External"/><Relationship Id="rId20" Type="http://schemas.openxmlformats.org/officeDocument/2006/relationships/hyperlink" Target="https://placehold.co/60x60/cccccc/333333?text=SW" TargetMode="External"/><Relationship Id="rId22" Type="http://schemas.openxmlformats.org/officeDocument/2006/relationships/hyperlink" Target="https://placehold.co/60x60/cccccc/333333?text=VW" TargetMode="External"/><Relationship Id="rId21" Type="http://schemas.openxmlformats.org/officeDocument/2006/relationships/hyperlink" Target="https://placehold.co/60x60/cccccc/333333?text=PQ" TargetMode="External"/><Relationship Id="rId24" Type="http://schemas.openxmlformats.org/officeDocument/2006/relationships/hyperlink" Target="https://placehold.co/60x60/cccccc/333333?text=T(P)" TargetMode="External"/><Relationship Id="rId23" Type="http://schemas.openxmlformats.org/officeDocument/2006/relationships/hyperlink" Target="https://raw.githubusercontent.com/BlackDragon2435/UnitsBGWiki/main/assets/ElvenWarrior_Rare.jpg" TargetMode="External"/><Relationship Id="rId129" Type="http://schemas.openxmlformats.org/officeDocument/2006/relationships/hyperlink" Target="https://placehold.co/60x60/cccccc/333333?text=A" TargetMode="External"/><Relationship Id="rId128" Type="http://schemas.openxmlformats.org/officeDocument/2006/relationships/hyperlink" Target="https://placehold.co/60x60/cccccc/333333?text=NT" TargetMode="External"/><Relationship Id="rId127" Type="http://schemas.openxmlformats.org/officeDocument/2006/relationships/hyperlink" Target="https://placehold.co/60x60/cccccc/333333?text=S" TargetMode="External"/><Relationship Id="rId126" Type="http://schemas.openxmlformats.org/officeDocument/2006/relationships/hyperlink" Target="https://raw.githubusercontent.com/BlackDragon2435/UnitsBGWiki/main/assets/PoolPartyBlaster_Mythic.jpg" TargetMode="External"/><Relationship Id="rId26" Type="http://schemas.openxmlformats.org/officeDocument/2006/relationships/hyperlink" Target="https://raw.githubusercontent.com/BlackDragon2435/UnitsBGWiki/main/assets/ElvenDruid_Legendary.jpg" TargetMode="External"/><Relationship Id="rId121" Type="http://schemas.openxmlformats.org/officeDocument/2006/relationships/hyperlink" Target="https://placehold.co/60x60/cccccc/333333?text=MS" TargetMode="External"/><Relationship Id="rId25" Type="http://schemas.openxmlformats.org/officeDocument/2006/relationships/hyperlink" Target="https://placehold.co/60x60/cccccc/333333?text=R" TargetMode="External"/><Relationship Id="rId120" Type="http://schemas.openxmlformats.org/officeDocument/2006/relationships/hyperlink" Target="https://raw.githubusercontent.com/BlackDragon2435/UnitsBGWiki/main/assets/ChristmasElfArcher_Legendary.jpg" TargetMode="External"/><Relationship Id="rId28" Type="http://schemas.openxmlformats.org/officeDocument/2006/relationships/hyperlink" Target="https://raw.githubusercontent.com/BlackDragon2435/UnitsBGWiki/main/assets/Oceanid_Mythic.jpg" TargetMode="External"/><Relationship Id="rId27" Type="http://schemas.openxmlformats.org/officeDocument/2006/relationships/hyperlink" Target="https://raw.githubusercontent.com/BlackDragon2435/UnitsBGWiki/main/assets/TheAdmiral_Mythic.jpg" TargetMode="External"/><Relationship Id="rId125" Type="http://schemas.openxmlformats.org/officeDocument/2006/relationships/hyperlink" Target="https://raw.githubusercontent.com/BlackDragon2435/UnitsBGWiki/main/assets/PirateCaptain_Epic.jpg" TargetMode="External"/><Relationship Id="rId29" Type="http://schemas.openxmlformats.org/officeDocument/2006/relationships/hyperlink" Target="https://placehold.co/60x60/cccccc/333333?text=V" TargetMode="External"/><Relationship Id="rId124" Type="http://schemas.openxmlformats.org/officeDocument/2006/relationships/hyperlink" Target="https://placehold.co/60x60/cccccc/333333?text=BGA" TargetMode="External"/><Relationship Id="rId123" Type="http://schemas.openxmlformats.org/officeDocument/2006/relationships/hyperlink" Target="https://placehold.co/60x60/cccccc/333333?text=S" TargetMode="External"/><Relationship Id="rId122" Type="http://schemas.openxmlformats.org/officeDocument/2006/relationships/hyperlink" Target="https://raw.githubusercontent.com/BlackDragon2435/UnitsBGWiki/main/assets/SkeletonWarrior_Uncommon.jpg" TargetMode="External"/><Relationship Id="rId95" Type="http://schemas.openxmlformats.org/officeDocument/2006/relationships/hyperlink" Target="https://raw.githubusercontent.com/BlackDragon2435/UnitsBGWiki/main/assets/SkeletonSamurai_Epic.jpg" TargetMode="External"/><Relationship Id="rId94" Type="http://schemas.openxmlformats.org/officeDocument/2006/relationships/hyperlink" Target="https://raw.githubusercontent.com/BlackDragon2435/UnitsBGWiki/main/assets/PlagueDoctor_Epic.jpg" TargetMode="External"/><Relationship Id="rId97" Type="http://schemas.openxmlformats.org/officeDocument/2006/relationships/hyperlink" Target="https://raw.githubusercontent.com/BlackDragon2435/UnitsBGWiki/main/assets/HeadlessKnight_Mythic.jpg" TargetMode="External"/><Relationship Id="rId96" Type="http://schemas.openxmlformats.org/officeDocument/2006/relationships/hyperlink" Target="https://placehold.co/60x60/cccccc/333333?text=T" TargetMode="External"/><Relationship Id="rId11" Type="http://schemas.openxmlformats.org/officeDocument/2006/relationships/hyperlink" Target="https://raw.githubusercontent.com/BlackDragon2435/UnitsBGWiki/main/assets/GoblinAssassin_Rare.jpg" TargetMode="External"/><Relationship Id="rId99" Type="http://schemas.openxmlformats.org/officeDocument/2006/relationships/hyperlink" Target="https://placehold.co/60x60/cccccc/333333?text=S" TargetMode="External"/><Relationship Id="rId10" Type="http://schemas.openxmlformats.org/officeDocument/2006/relationships/hyperlink" Target="https://placehold.co/60x60/cccccc/333333?text=EP" TargetMode="External"/><Relationship Id="rId98" Type="http://schemas.openxmlformats.org/officeDocument/2006/relationships/hyperlink" Target="https://raw.githubusercontent.com/BlackDragon2435/UnitsBGWiki/main/assets/Marksman_Mythic.jpg" TargetMode="External"/><Relationship Id="rId13" Type="http://schemas.openxmlformats.org/officeDocument/2006/relationships/hyperlink" Target="https://raw.githubusercontent.com/BlackDragon2435/UnitsBGWiki/main/assets/Witch_Mythic.jpg" TargetMode="External"/><Relationship Id="rId12" Type="http://schemas.openxmlformats.org/officeDocument/2006/relationships/hyperlink" Target="https://raw.githubusercontent.com/BlackDragon2435/UnitsBGWiki/main/assets/Succubus_Mythic.jpg" TargetMode="External"/><Relationship Id="rId91" Type="http://schemas.openxmlformats.org/officeDocument/2006/relationships/hyperlink" Target="https://raw.githubusercontent.com/BlackDragon2435/UnitsBGWiki/main/assets/Thanatos_Demonic.jpg" TargetMode="External"/><Relationship Id="rId90" Type="http://schemas.openxmlformats.org/officeDocument/2006/relationships/hyperlink" Target="https://raw.githubusercontent.com/BlackDragon2435/UnitsBGWiki/main/assets/Chaosflare_Demonic.jpg" TargetMode="External"/><Relationship Id="rId93" Type="http://schemas.openxmlformats.org/officeDocument/2006/relationships/hyperlink" Target="https://raw.githubusercontent.com/BlackDragon2435/UnitsBGWiki/main/assets/DemonicCureflare_Demonic.jpg" TargetMode="External"/><Relationship Id="rId92" Type="http://schemas.openxmlformats.org/officeDocument/2006/relationships/hyperlink" Target="https://placehold.co/60x60/cccccc/333333?text=Z" TargetMode="External"/><Relationship Id="rId118" Type="http://schemas.openxmlformats.org/officeDocument/2006/relationships/hyperlink" Target="https://raw.githubusercontent.com/BlackDragon2435/UnitsBGWiki/main/assets/SkeletonTank_Rare.jpg" TargetMode="External"/><Relationship Id="rId117" Type="http://schemas.openxmlformats.org/officeDocument/2006/relationships/hyperlink" Target="https://raw.githubusercontent.com/BlackDragon2435/UnitsBGWiki/main/assets/SpookyGhost_Epic.jpg" TargetMode="External"/><Relationship Id="rId116" Type="http://schemas.openxmlformats.org/officeDocument/2006/relationships/hyperlink" Target="https://placehold.co/60x60/cccccc/333333?text=G" TargetMode="External"/><Relationship Id="rId115" Type="http://schemas.openxmlformats.org/officeDocument/2006/relationships/hyperlink" Target="https://raw.githubusercontent.com/BlackDragon2435/UnitsBGWiki/main/assets/CrossbowMan_Rare.jpg" TargetMode="External"/><Relationship Id="rId119" Type="http://schemas.openxmlformats.org/officeDocument/2006/relationships/hyperlink" Target="https://raw.githubusercontent.com/BlackDragon2435/UnitsBGWiki/main/assets/DragonKnight_Legendary.jpg" TargetMode="External"/><Relationship Id="rId15" Type="http://schemas.openxmlformats.org/officeDocument/2006/relationships/hyperlink" Target="https://raw.githubusercontent.com/BlackDragon2435/UnitsBGWiki/main/assets/Gryla_Mythic.jpg" TargetMode="External"/><Relationship Id="rId110" Type="http://schemas.openxmlformats.org/officeDocument/2006/relationships/hyperlink" Target="https://raw.githubusercontent.com/BlackDragon2435/UnitsBGWiki/main/assets/CageMan_Mythic.jpg" TargetMode="External"/><Relationship Id="rId14" Type="http://schemas.openxmlformats.org/officeDocument/2006/relationships/hyperlink" Target="https://raw.githubusercontent.com/BlackDragon2435/UnitsBGWiki/main/assets/Wizard_Rare.jpg" TargetMode="External"/><Relationship Id="rId17" Type="http://schemas.openxmlformats.org/officeDocument/2006/relationships/hyperlink" Target="https://raw.githubusercontent.com/BlackDragon2435/UnitsBGWiki/main/assets/Yeti_Mythic.jpg" TargetMode="External"/><Relationship Id="rId16" Type="http://schemas.openxmlformats.org/officeDocument/2006/relationships/hyperlink" Target="https://raw.githubusercontent.com/BlackDragon2435/UnitsBGWiki/main/assets/PirateAssassinator_Epic.jpg" TargetMode="External"/><Relationship Id="rId19" Type="http://schemas.openxmlformats.org/officeDocument/2006/relationships/hyperlink" Target="https://placehold.co/60x60/cccccc/333333?text=D" TargetMode="External"/><Relationship Id="rId114" Type="http://schemas.openxmlformats.org/officeDocument/2006/relationships/hyperlink" Target="https://placehold.co/60x60/cccccc/333333?text=EW" TargetMode="External"/><Relationship Id="rId18" Type="http://schemas.openxmlformats.org/officeDocument/2006/relationships/hyperlink" Target="https://raw.githubusercontent.com/BlackDragon2435/UnitsBGWiki/main/assets/Pyromancer_Rare.jpg" TargetMode="External"/><Relationship Id="rId113" Type="http://schemas.openxmlformats.org/officeDocument/2006/relationships/hyperlink" Target="https://placehold.co/60x60/cccccc/333333?text=D" TargetMode="External"/><Relationship Id="rId112" Type="http://schemas.openxmlformats.org/officeDocument/2006/relationships/hyperlink" Target="https://raw.githubusercontent.com/BlackDragon2435/UnitsBGWiki/main/assets/EntSmall_Mythic.jpg" TargetMode="External"/><Relationship Id="rId111" Type="http://schemas.openxmlformats.org/officeDocument/2006/relationships/hyperlink" Target="https://placehold.co/60x60/cccccc/333333?text=DT" TargetMode="External"/><Relationship Id="rId84" Type="http://schemas.openxmlformats.org/officeDocument/2006/relationships/hyperlink" Target="https://placehold.co/60x60/cccccc/333333?text=KM" TargetMode="External"/><Relationship Id="rId83" Type="http://schemas.openxmlformats.org/officeDocument/2006/relationships/hyperlink" Target="https://raw.githubusercontent.com/BlackDragon2435/UnitsBGWiki/main/assets/Medusa_Demonic.jpg" TargetMode="External"/><Relationship Id="rId86" Type="http://schemas.openxmlformats.org/officeDocument/2006/relationships/hyperlink" Target="https://raw.githubusercontent.com/BlackDragon2435/UnitsBGWiki/main/assets/Angel_Mythic.jpg" TargetMode="External"/><Relationship Id="rId85" Type="http://schemas.openxmlformats.org/officeDocument/2006/relationships/hyperlink" Target="https://raw.githubusercontent.com/BlackDragon2435/UnitsBGWiki/main/assets/DragonSlayer_Mythic.jpg" TargetMode="External"/><Relationship Id="rId88" Type="http://schemas.openxmlformats.org/officeDocument/2006/relationships/hyperlink" Target="https://placehold.co/60x60/cccccc/333333?text=C" TargetMode="External"/><Relationship Id="rId150" Type="http://schemas.openxmlformats.org/officeDocument/2006/relationships/hyperlink" Target="https://raw.githubusercontent.com/BlackDragon2435/UnitsBGWiki/main/assets/TheReaperSmall_Mythic.jpg" TargetMode="External"/><Relationship Id="rId87" Type="http://schemas.openxmlformats.org/officeDocument/2006/relationships/hyperlink" Target="https://raw.githubusercontent.com/BlackDragon2435/UnitsBGWiki/main/assets/DragonBerserker_Legendary.jpg" TargetMode="External"/><Relationship Id="rId89" Type="http://schemas.openxmlformats.org/officeDocument/2006/relationships/hyperlink" Target="https://raw.githubusercontent.com/BlackDragon2435/UnitsBGWiki/main/assets/Viperfang_Mythic.jpg" TargetMode="External"/><Relationship Id="rId80" Type="http://schemas.openxmlformats.org/officeDocument/2006/relationships/hyperlink" Target="https://placehold.co/60x60/cccccc/333333?text=EA" TargetMode="External"/><Relationship Id="rId82" Type="http://schemas.openxmlformats.org/officeDocument/2006/relationships/hyperlink" Target="https://raw.githubusercontent.com/BlackDragon2435/UnitsBGWiki/main/assets/SmallPoseidon_Ancient.jpg" TargetMode="External"/><Relationship Id="rId81" Type="http://schemas.openxmlformats.org/officeDocument/2006/relationships/hyperlink" Target="https://placehold.co/60x60/cccccc/333333?text=GK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raw.githubusercontent.com/BlackDragon2435/UnitsBGWiki/main/assets/GoblinAxeman_Rare.jpg" TargetMode="External"/><Relationship Id="rId3" Type="http://schemas.openxmlformats.org/officeDocument/2006/relationships/hyperlink" Target="https://raw.githubusercontent.com/BlackDragon2435/UnitsBGWiki/main/assets/Berserker_Mythic.jpg" TargetMode="External"/><Relationship Id="rId149" Type="http://schemas.openxmlformats.org/officeDocument/2006/relationships/hyperlink" Target="https://raw.githubusercontent.com/BlackDragon2435/UnitsBGWiki/main/assets/SaintNicholas_Demonic.jpg" TargetMode="External"/><Relationship Id="rId4" Type="http://schemas.openxmlformats.org/officeDocument/2006/relationships/hyperlink" Target="https://raw.githubusercontent.com/BlackDragon2435/UnitsBGWiki/main/assets/OmelaTree_Demonic.jpg" TargetMode="External"/><Relationship Id="rId148" Type="http://schemas.openxmlformats.org/officeDocument/2006/relationships/hyperlink" Target="https://raw.githubusercontent.com/BlackDragon2435/UnitsBGWiki/main/assets/Therapist_Rare.jpg" TargetMode="External"/><Relationship Id="rId9" Type="http://schemas.openxmlformats.org/officeDocument/2006/relationships/hyperlink" Target="https://placehold.co/60x60/cccccc/333333?text=TIQ" TargetMode="External"/><Relationship Id="rId143" Type="http://schemas.openxmlformats.org/officeDocument/2006/relationships/hyperlink" Target="https://placehold.co/60x60/cccccc/333333?text=GK" TargetMode="External"/><Relationship Id="rId142" Type="http://schemas.openxmlformats.org/officeDocument/2006/relationships/hyperlink" Target="https://raw.githubusercontent.com/BlackDragon2435/UnitsBGWiki/main/assets/PirateMedic_Rare.jpg" TargetMode="External"/><Relationship Id="rId141" Type="http://schemas.openxmlformats.org/officeDocument/2006/relationships/hyperlink" Target="https://raw.githubusercontent.com/BlackDragon2435/UnitsBGWiki/main/assets/Bomber_Legendary.jpg" TargetMode="External"/><Relationship Id="rId140" Type="http://schemas.openxmlformats.org/officeDocument/2006/relationships/hyperlink" Target="https://placehold.co/60x60/cccccc/333333?text=J" TargetMode="External"/><Relationship Id="rId5" Type="http://schemas.openxmlformats.org/officeDocument/2006/relationships/hyperlink" Target="https://raw.githubusercontent.com/BlackDragon2435/UnitsBGWiki/main/assets/DemonicArbalester_Legendary.jpg" TargetMode="External"/><Relationship Id="rId147" Type="http://schemas.openxmlformats.org/officeDocument/2006/relationships/hyperlink" Target="https://raw.githubusercontent.com/BlackDragon2435/UnitsBGWiki/main/assets/Beachcomber_Legendary.jpg" TargetMode="External"/><Relationship Id="rId6" Type="http://schemas.openxmlformats.org/officeDocument/2006/relationships/hyperlink" Target="https://raw.githubusercontent.com/BlackDragon2435/UnitsBGWiki/main/assets/Bartender_Legendary.jpg" TargetMode="External"/><Relationship Id="rId146" Type="http://schemas.openxmlformats.org/officeDocument/2006/relationships/hyperlink" Target="https://placehold.co/60x60/cccccc/333333?text=D" TargetMode="External"/><Relationship Id="rId7" Type="http://schemas.openxmlformats.org/officeDocument/2006/relationships/hyperlink" Target="https://placehold.co/60x60/cccccc/333333?text=LW" TargetMode="External"/><Relationship Id="rId145" Type="http://schemas.openxmlformats.org/officeDocument/2006/relationships/hyperlink" Target="https://raw.githubusercontent.com/BlackDragon2435/UnitsBGWiki/main/assets/YukiOnna_Mythic.jpg" TargetMode="External"/><Relationship Id="rId8" Type="http://schemas.openxmlformats.org/officeDocument/2006/relationships/hyperlink" Target="https://raw.githubusercontent.com/BlackDragon2435/UnitsBGWiki/main/assets/Miner_Uncommon.jpg" TargetMode="External"/><Relationship Id="rId144" Type="http://schemas.openxmlformats.org/officeDocument/2006/relationships/hyperlink" Target="https://placehold.co/60x60/cccccc/333333?text=S" TargetMode="External"/><Relationship Id="rId73" Type="http://schemas.openxmlformats.org/officeDocument/2006/relationships/hyperlink" Target="https://raw.githubusercontent.com/BlackDragon2435/UnitsBGWiki/main/assets/SmallHeadlessKnight_Mythic.jpg" TargetMode="External"/><Relationship Id="rId72" Type="http://schemas.openxmlformats.org/officeDocument/2006/relationships/hyperlink" Target="https://raw.githubusercontent.com/BlackDragon2435/UnitsBGWiki/main/assets/Vendigo_Mythic.jpg" TargetMode="External"/><Relationship Id="rId75" Type="http://schemas.openxmlformats.org/officeDocument/2006/relationships/hyperlink" Target="https://raw.githubusercontent.com/BlackDragon2435/UnitsBGWiki/main/assets/DragonDemon_Legendary.jpg" TargetMode="External"/><Relationship Id="rId74" Type="http://schemas.openxmlformats.org/officeDocument/2006/relationships/hyperlink" Target="https://raw.githubusercontent.com/BlackDragon2435/UnitsBGWiki/main/assets/Trifang_Mythic.jpg" TargetMode="External"/><Relationship Id="rId77" Type="http://schemas.openxmlformats.org/officeDocument/2006/relationships/hyperlink" Target="https://placehold.co/60x60/cccccc/333333?text=V" TargetMode="External"/><Relationship Id="rId76" Type="http://schemas.openxmlformats.org/officeDocument/2006/relationships/hyperlink" Target="https://raw.githubusercontent.com/BlackDragon2435/UnitsBGWiki/main/assets/CrimsonAssassin_Mythic.jpg" TargetMode="External"/><Relationship Id="rId79" Type="http://schemas.openxmlformats.org/officeDocument/2006/relationships/hyperlink" Target="https://raw.githubusercontent.com/BlackDragon2435/UnitsBGWiki/main/assets/Rhythmclaw_Mythic.jpg" TargetMode="External"/><Relationship Id="rId78" Type="http://schemas.openxmlformats.org/officeDocument/2006/relationships/hyperlink" Target="https://raw.githubusercontent.com/BlackDragon2435/UnitsBGWiki/main/assets/Torturer_Mythic.jpg" TargetMode="External"/><Relationship Id="rId71" Type="http://schemas.openxmlformats.org/officeDocument/2006/relationships/hyperlink" Target="https://raw.githubusercontent.com/BlackDragon2435/UnitsBGWiki/main/assets/PirateSailor_Uncommon.jpg" TargetMode="External"/><Relationship Id="rId70" Type="http://schemas.openxmlformats.org/officeDocument/2006/relationships/hyperlink" Target="https://raw.githubusercontent.com/BlackDragon2435/UnitsBGWiki/main/assets/Boatswain_Epic.jpg" TargetMode="External"/><Relationship Id="rId139" Type="http://schemas.openxmlformats.org/officeDocument/2006/relationships/hyperlink" Target="https://raw.githubusercontent.com/BlackDragon2435/UnitsBGWiki/main/assets/InfernoArcher_Demonic.jpg" TargetMode="External"/><Relationship Id="rId138" Type="http://schemas.openxmlformats.org/officeDocument/2006/relationships/hyperlink" Target="https://placehold.co/60x60/cccccc/333333?text=FW" TargetMode="External"/><Relationship Id="rId137" Type="http://schemas.openxmlformats.org/officeDocument/2006/relationships/hyperlink" Target="https://raw.githubusercontent.com/BlackDragon2435/UnitsBGWiki/main/assets/Warrior_Uncommon.jpg" TargetMode="External"/><Relationship Id="rId132" Type="http://schemas.openxmlformats.org/officeDocument/2006/relationships/hyperlink" Target="https://raw.githubusercontent.com/BlackDragon2435/UnitsBGWiki/main/assets/GoblinWarrior_Uncommon.jpg" TargetMode="External"/><Relationship Id="rId131" Type="http://schemas.openxmlformats.org/officeDocument/2006/relationships/hyperlink" Target="https://placehold.co/60x60/cccccc/333333?text=DC" TargetMode="External"/><Relationship Id="rId130" Type="http://schemas.openxmlformats.org/officeDocument/2006/relationships/hyperlink" Target="https://raw.githubusercontent.com/BlackDragon2435/UnitsBGWiki/main/assets/Cryomancer_Epic.jpg" TargetMode="External"/><Relationship Id="rId136" Type="http://schemas.openxmlformats.org/officeDocument/2006/relationships/hyperlink" Target="https://raw.githubusercontent.com/BlackDragon2435/UnitsBGWiki/main/assets/LivingMummy_Legendary.jpg" TargetMode="External"/><Relationship Id="rId135" Type="http://schemas.openxmlformats.org/officeDocument/2006/relationships/hyperlink" Target="https://raw.githubusercontent.com/BlackDragon2435/UnitsBGWiki/main/assets/SmallAncientVampire_Demonic.jpg" TargetMode="External"/><Relationship Id="rId134" Type="http://schemas.openxmlformats.org/officeDocument/2006/relationships/hyperlink" Target="https://raw.githubusercontent.com/BlackDragon2435/UnitsBGWiki/main/assets/LivingArmor_Mythic.jpg" TargetMode="External"/><Relationship Id="rId133" Type="http://schemas.openxmlformats.org/officeDocument/2006/relationships/hyperlink" Target="https://raw.githubusercontent.com/BlackDragon2435/UnitsBGWiki/main/assets/TheAdmiralSmall_Mythic.jpg" TargetMode="External"/><Relationship Id="rId62" Type="http://schemas.openxmlformats.org/officeDocument/2006/relationships/hyperlink" Target="https://placehold.co/60x60/cccccc/333333?text=CEW" TargetMode="External"/><Relationship Id="rId61" Type="http://schemas.openxmlformats.org/officeDocument/2006/relationships/hyperlink" Target="https://raw.githubusercontent.com/BlackDragon2435/UnitsBGWiki/main/assets/ElvenSniper_Legendary.jpg" TargetMode="External"/><Relationship Id="rId64" Type="http://schemas.openxmlformats.org/officeDocument/2006/relationships/hyperlink" Target="https://raw.githubusercontent.com/BlackDragon2435/UnitsBGWiki/main/assets/TheIceQueenSmall_Mythic.jpg" TargetMode="External"/><Relationship Id="rId63" Type="http://schemas.openxmlformats.org/officeDocument/2006/relationships/hyperlink" Target="https://raw.githubusercontent.com/BlackDragon2435/UnitsBGWiki/main/assets/Krampus_Demonic.jpg" TargetMode="External"/><Relationship Id="rId66" Type="http://schemas.openxmlformats.org/officeDocument/2006/relationships/hyperlink" Target="https://placehold.co/60x60/cccccc/333333?text=BM" TargetMode="External"/><Relationship Id="rId65" Type="http://schemas.openxmlformats.org/officeDocument/2006/relationships/hyperlink" Target="https://raw.githubusercontent.com/BlackDragon2435/UnitsBGWiki/main/assets/SmallBlackDragon_Ancient.jpg" TargetMode="External"/><Relationship Id="rId68" Type="http://schemas.openxmlformats.org/officeDocument/2006/relationships/hyperlink" Target="https://raw.githubusercontent.com/BlackDragon2435/UnitsBGWiki/main/assets/CandyCane_Mythic.jpg" TargetMode="External"/><Relationship Id="rId67" Type="http://schemas.openxmlformats.org/officeDocument/2006/relationships/hyperlink" Target="https://placehold.co/60x60/cccccc/333333?text=B" TargetMode="External"/><Relationship Id="rId60" Type="http://schemas.openxmlformats.org/officeDocument/2006/relationships/hyperlink" Target="https://raw.githubusercontent.com/BlackDragon2435/UnitsBGWiki/main/assets/Commander_Demonic.jpg" TargetMode="External"/><Relationship Id="rId69" Type="http://schemas.openxmlformats.org/officeDocument/2006/relationships/hyperlink" Target="https://raw.githubusercontent.com/BlackDragon2435/UnitsBGWiki/main/assets/PirateShooter_Rare.jpg" TargetMode="External"/><Relationship Id="rId51" Type="http://schemas.openxmlformats.org/officeDocument/2006/relationships/hyperlink" Target="https://raw.githubusercontent.com/BlackDragon2435/UnitsBGWiki/main/assets/Frostflame_Legendary.jpg" TargetMode="External"/><Relationship Id="rId50" Type="http://schemas.openxmlformats.org/officeDocument/2006/relationships/hyperlink" Target="https://raw.githubusercontent.com/BlackDragon2435/UnitsBGWiki/main/assets/Peasant_Uncommon.jpg" TargetMode="External"/><Relationship Id="rId53" Type="http://schemas.openxmlformats.org/officeDocument/2006/relationships/hyperlink" Target="https://raw.githubusercontent.com/BlackDragon2435/UnitsBGWiki/main/assets/GoblinTank_Rare.jpg" TargetMode="External"/><Relationship Id="rId52" Type="http://schemas.openxmlformats.org/officeDocument/2006/relationships/hyperlink" Target="https://placehold.co/60x60/cccccc/333333?text=SA" TargetMode="External"/><Relationship Id="rId55" Type="http://schemas.openxmlformats.org/officeDocument/2006/relationships/hyperlink" Target="https://raw.githubusercontent.com/BlackDragon2435/UnitsBGWiki/main/assets/GoblinKing_Legendary.jpg" TargetMode="External"/><Relationship Id="rId54" Type="http://schemas.openxmlformats.org/officeDocument/2006/relationships/hyperlink" Target="https://placehold.co/60x60/cccccc/333333?text=SM" TargetMode="External"/><Relationship Id="rId57" Type="http://schemas.openxmlformats.org/officeDocument/2006/relationships/hyperlink" Target="https://raw.githubusercontent.com/BlackDragon2435/UnitsBGWiki/main/assets/NoobShaman_Rare.jpg" TargetMode="External"/><Relationship Id="rId56" Type="http://schemas.openxmlformats.org/officeDocument/2006/relationships/hyperlink" Target="https://raw.githubusercontent.com/BlackDragon2435/UnitsBGWiki/main/assets/PeasantArcher_Uncommon.jpg" TargetMode="External"/><Relationship Id="rId159" Type="http://schemas.openxmlformats.org/officeDocument/2006/relationships/vmlDrawing" Target="../drawings/vmlDrawing1.vml"/><Relationship Id="rId59" Type="http://schemas.openxmlformats.org/officeDocument/2006/relationships/hyperlink" Target="https://raw.githubusercontent.com/BlackDragon2435/UnitsBGWiki/main/assets/SkeletonMage_Rare.jpg" TargetMode="External"/><Relationship Id="rId154" Type="http://schemas.openxmlformats.org/officeDocument/2006/relationships/hyperlink" Target="https://placehold.co/60x60/cccccc/333333?text=J(S)" TargetMode="External"/><Relationship Id="rId58" Type="http://schemas.openxmlformats.org/officeDocument/2006/relationships/hyperlink" Target="https://placehold.co/60x60/cccccc/333333?text=BGW" TargetMode="External"/><Relationship Id="rId153" Type="http://schemas.openxmlformats.org/officeDocument/2006/relationships/hyperlink" Target="https://placehold.co/60x60/cccccc/333333?text=NS(S)" TargetMode="External"/><Relationship Id="rId152" Type="http://schemas.openxmlformats.org/officeDocument/2006/relationships/hyperlink" Target="https://placehold.co/60x60/cccccc/333333?text=SA" TargetMode="External"/><Relationship Id="rId151" Type="http://schemas.openxmlformats.org/officeDocument/2006/relationships/hyperlink" Target="https://raw.githubusercontent.com/BlackDragon2435/UnitsBGWiki/main/assets/BattleWizard_Rare.jpg" TargetMode="External"/><Relationship Id="rId158" Type="http://schemas.openxmlformats.org/officeDocument/2006/relationships/drawing" Target="../drawings/drawing1.xml"/><Relationship Id="rId157" Type="http://schemas.openxmlformats.org/officeDocument/2006/relationships/hyperlink" Target="https://placehold.co/60x60/cccccc/333333?text=NA(S)" TargetMode="External"/><Relationship Id="rId156" Type="http://schemas.openxmlformats.org/officeDocument/2006/relationships/hyperlink" Target="https://placehold.co/60x60/cccccc/333333?text=SBW(S)" TargetMode="External"/><Relationship Id="rId155" Type="http://schemas.openxmlformats.org/officeDocument/2006/relationships/hyperlink" Target="https://placehold.co/60x60/cccccc/333333?text=NW(S)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2.38"/>
    <col customWidth="1" min="3" max="3" width="21.25"/>
    <col customWidth="1" min="4" max="5" width="9.13"/>
    <col customWidth="1" min="6" max="6" width="10.63"/>
    <col customWidth="1" min="7" max="7" width="13.25"/>
    <col customWidth="1" min="8" max="8" width="10.0"/>
    <col customWidth="1" min="9" max="9" width="12.38"/>
    <col customWidth="1" min="10" max="10" width="9.5"/>
    <col customWidth="1" min="12" max="12" width="11.0"/>
    <col customWidth="1" min="13" max="13" width="14.38"/>
    <col customWidth="1" min="14" max="14" width="10.5"/>
    <col customWidth="1" min="15" max="15" width="20.5"/>
    <col customWidth="1" min="16" max="16" width="12.88"/>
    <col customWidth="1" min="17" max="17" width="17.0"/>
    <col customWidth="1" min="18" max="18" width="20.0"/>
    <col customWidth="1" min="19" max="19" width="16.25"/>
    <col customWidth="1" min="20" max="20" width="6.5"/>
    <col customWidth="1" min="21" max="21" width="11.5"/>
    <col customWidth="1" min="22" max="22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3"/>
      <c r="AA1" s="3"/>
    </row>
    <row r="2">
      <c r="A2" s="4" t="s">
        <v>25</v>
      </c>
      <c r="B2" s="4" t="s">
        <v>26</v>
      </c>
      <c r="C2" s="4" t="s">
        <v>27</v>
      </c>
      <c r="D2" s="5" t="s">
        <v>28</v>
      </c>
      <c r="E2" s="4" t="s">
        <v>29</v>
      </c>
      <c r="F2" s="4" t="s">
        <v>26</v>
      </c>
      <c r="G2" s="4" t="s">
        <v>26</v>
      </c>
      <c r="H2" s="4">
        <v>25.0</v>
      </c>
      <c r="I2" s="4">
        <v>0.0</v>
      </c>
      <c r="J2" s="4" t="s">
        <v>30</v>
      </c>
      <c r="K2" s="6">
        <f t="shared" ref="K2:K157" si="1">IF(H2&gt;0, H2/U2, "N/A")</f>
        <v>14.28571429</v>
      </c>
      <c r="L2" s="4" t="s">
        <v>26</v>
      </c>
      <c r="M2" s="4" t="s">
        <v>26</v>
      </c>
      <c r="N2" s="4">
        <v>7.0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>
        <v>120.0</v>
      </c>
      <c r="U2" s="4">
        <v>1.75</v>
      </c>
      <c r="V2" s="4" t="s">
        <v>26</v>
      </c>
      <c r="W2" s="6"/>
      <c r="X2" s="6" t="str">
        <f>IFERROR(__xludf.DUMMYFUNCTION("IMPORTRANGE(""https://docs.google.com/spreadsheets/d/1CG1QQI8OyvNVglxqlqPT9fqRo7FNy3SJfpLGvZcMxvQ/edit?pli=1&amp;gid=0#gid=0"", ""Tier List!B2:B"")"),"")</f>
        <v/>
      </c>
      <c r="Y2" s="4" t="s">
        <v>31</v>
      </c>
      <c r="Z2" s="6"/>
      <c r="AA2" s="6"/>
    </row>
    <row r="3">
      <c r="A3" s="7" t="s">
        <v>32</v>
      </c>
      <c r="B3" s="7" t="s">
        <v>26</v>
      </c>
      <c r="C3" s="7" t="s">
        <v>32</v>
      </c>
      <c r="D3" s="8" t="s">
        <v>33</v>
      </c>
      <c r="E3" s="7" t="s">
        <v>29</v>
      </c>
      <c r="F3" s="7" t="s">
        <v>26</v>
      </c>
      <c r="G3" s="7" t="s">
        <v>26</v>
      </c>
      <c r="H3" s="7">
        <v>45.0</v>
      </c>
      <c r="I3" s="7">
        <v>0.0</v>
      </c>
      <c r="J3" s="7" t="s">
        <v>34</v>
      </c>
      <c r="K3" s="9">
        <f t="shared" si="1"/>
        <v>32.14285714</v>
      </c>
      <c r="L3" s="7" t="s">
        <v>26</v>
      </c>
      <c r="M3" s="7" t="s">
        <v>26</v>
      </c>
      <c r="N3" s="7">
        <v>5.0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  <c r="T3" s="7">
        <v>280.0</v>
      </c>
      <c r="U3" s="7">
        <v>1.4</v>
      </c>
      <c r="V3" s="7" t="s">
        <v>26</v>
      </c>
      <c r="W3" s="9"/>
      <c r="X3" s="9" t="str">
        <f>IFERROR(__xludf.DUMMYFUNCTION("""COMPUTED_VALUE"""),"")</f>
        <v/>
      </c>
      <c r="Y3" s="7" t="s">
        <v>35</v>
      </c>
      <c r="Z3" s="9"/>
      <c r="AA3" s="9"/>
    </row>
    <row r="4">
      <c r="A4" s="4" t="s">
        <v>36</v>
      </c>
      <c r="B4" s="4">
        <v>0.015</v>
      </c>
      <c r="C4" s="4" t="s">
        <v>37</v>
      </c>
      <c r="D4" s="5" t="s">
        <v>38</v>
      </c>
      <c r="E4" s="4" t="s">
        <v>39</v>
      </c>
      <c r="F4" s="4" t="s">
        <v>26</v>
      </c>
      <c r="G4" s="4" t="s">
        <v>26</v>
      </c>
      <c r="H4" s="4">
        <v>60.0</v>
      </c>
      <c r="I4" s="4">
        <v>50.0</v>
      </c>
      <c r="J4" s="4" t="s">
        <v>40</v>
      </c>
      <c r="K4" s="6">
        <f t="shared" si="1"/>
        <v>30</v>
      </c>
      <c r="L4" s="4" t="s">
        <v>26</v>
      </c>
      <c r="M4" s="4">
        <v>0.01</v>
      </c>
      <c r="N4" s="4">
        <v>7.0</v>
      </c>
      <c r="O4" s="4" t="s">
        <v>26</v>
      </c>
      <c r="P4" s="4">
        <v>1.5</v>
      </c>
      <c r="Q4" s="4" t="s">
        <v>26</v>
      </c>
      <c r="R4" s="4" t="s">
        <v>26</v>
      </c>
      <c r="S4" s="4" t="s">
        <v>26</v>
      </c>
      <c r="T4" s="4">
        <v>1400.0</v>
      </c>
      <c r="U4" s="4">
        <v>2.0</v>
      </c>
      <c r="V4" s="4" t="s">
        <v>26</v>
      </c>
      <c r="W4" s="6"/>
      <c r="X4" s="6" t="str">
        <f>IFERROR(__xludf.DUMMYFUNCTION("""COMPUTED_VALUE"""),"B")</f>
        <v>B</v>
      </c>
      <c r="Y4" s="4" t="s">
        <v>41</v>
      </c>
      <c r="Z4" s="6"/>
      <c r="AA4" s="6"/>
    </row>
    <row r="5">
      <c r="A5" s="7" t="s">
        <v>42</v>
      </c>
      <c r="B5" s="7" t="s">
        <v>26</v>
      </c>
      <c r="C5" s="7" t="s">
        <v>43</v>
      </c>
      <c r="D5" s="8" t="s">
        <v>44</v>
      </c>
      <c r="E5" s="7" t="s">
        <v>45</v>
      </c>
      <c r="F5" s="7" t="s">
        <v>26</v>
      </c>
      <c r="G5" s="7" t="s">
        <v>26</v>
      </c>
      <c r="H5" s="7">
        <v>45.0</v>
      </c>
      <c r="I5" s="7">
        <v>0.0</v>
      </c>
      <c r="J5" s="7" t="s">
        <v>46</v>
      </c>
      <c r="K5" s="9">
        <f t="shared" si="1"/>
        <v>37.5</v>
      </c>
      <c r="L5" s="7" t="s">
        <v>26</v>
      </c>
      <c r="M5" s="7" t="s">
        <v>26</v>
      </c>
      <c r="N5" s="7">
        <v>45.0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  <c r="T5" s="7">
        <v>90.0</v>
      </c>
      <c r="U5" s="7">
        <v>1.2</v>
      </c>
      <c r="V5" s="7" t="s">
        <v>26</v>
      </c>
      <c r="W5" s="9"/>
      <c r="X5" s="9" t="str">
        <f>IFERROR(__xludf.DUMMYFUNCTION("""COMPUTED_VALUE"""),"")</f>
        <v/>
      </c>
      <c r="Y5" s="7" t="s">
        <v>41</v>
      </c>
      <c r="Z5" s="9"/>
      <c r="AA5" s="9"/>
    </row>
    <row r="6">
      <c r="A6" s="4" t="s">
        <v>47</v>
      </c>
      <c r="B6" s="4" t="s">
        <v>26</v>
      </c>
      <c r="C6" s="4" t="s">
        <v>47</v>
      </c>
      <c r="D6" s="5" t="s">
        <v>48</v>
      </c>
      <c r="E6" s="4" t="s">
        <v>49</v>
      </c>
      <c r="F6" s="4" t="s">
        <v>26</v>
      </c>
      <c r="G6" s="4" t="s">
        <v>50</v>
      </c>
      <c r="H6" s="4">
        <v>25.0</v>
      </c>
      <c r="I6" s="4">
        <v>0.0</v>
      </c>
      <c r="J6" s="4" t="s">
        <v>46</v>
      </c>
      <c r="K6" s="6">
        <f t="shared" si="1"/>
        <v>17.85714286</v>
      </c>
      <c r="L6" s="4" t="s">
        <v>26</v>
      </c>
      <c r="M6" s="4" t="s">
        <v>26</v>
      </c>
      <c r="N6" s="4">
        <v>35.0</v>
      </c>
      <c r="O6" s="4" t="s">
        <v>26</v>
      </c>
      <c r="P6" s="4" t="s">
        <v>26</v>
      </c>
      <c r="Q6" s="4" t="s">
        <v>50</v>
      </c>
      <c r="R6" s="4" t="s">
        <v>26</v>
      </c>
      <c r="S6" s="4" t="s">
        <v>50</v>
      </c>
      <c r="T6" s="4">
        <v>150.0</v>
      </c>
      <c r="U6" s="4">
        <v>1.4</v>
      </c>
      <c r="V6" s="4" t="s">
        <v>26</v>
      </c>
      <c r="W6" s="6"/>
      <c r="X6" s="6" t="str">
        <f>IFERROR(__xludf.DUMMYFUNCTION("""COMPUTED_VALUE"""),"C")</f>
        <v>C</v>
      </c>
      <c r="Y6" s="4" t="s">
        <v>41</v>
      </c>
      <c r="Z6" s="6"/>
      <c r="AA6" s="6"/>
    </row>
    <row r="7">
      <c r="A7" s="7" t="s">
        <v>51</v>
      </c>
      <c r="B7" s="7" t="s">
        <v>26</v>
      </c>
      <c r="C7" s="7" t="s">
        <v>52</v>
      </c>
      <c r="D7" s="8" t="s">
        <v>53</v>
      </c>
      <c r="E7" s="7" t="s">
        <v>45</v>
      </c>
      <c r="F7" s="7" t="s">
        <v>26</v>
      </c>
      <c r="G7" s="7" t="s">
        <v>54</v>
      </c>
      <c r="H7" s="7">
        <v>30.0</v>
      </c>
      <c r="I7" s="7">
        <v>0.0</v>
      </c>
      <c r="J7" s="7" t="s">
        <v>46</v>
      </c>
      <c r="K7" s="9">
        <f t="shared" si="1"/>
        <v>9.230769231</v>
      </c>
      <c r="L7" s="7" t="s">
        <v>26</v>
      </c>
      <c r="M7" s="7" t="s">
        <v>26</v>
      </c>
      <c r="N7" s="7">
        <v>22.0</v>
      </c>
      <c r="O7" s="7" t="s">
        <v>26</v>
      </c>
      <c r="P7" s="7" t="s">
        <v>26</v>
      </c>
      <c r="Q7" s="7" t="s">
        <v>54</v>
      </c>
      <c r="R7" s="7" t="s">
        <v>26</v>
      </c>
      <c r="S7" s="7" t="s">
        <v>54</v>
      </c>
      <c r="T7" s="7">
        <v>110.0</v>
      </c>
      <c r="U7" s="7">
        <v>3.25</v>
      </c>
      <c r="V7" s="7" t="s">
        <v>26</v>
      </c>
      <c r="W7" s="9"/>
      <c r="X7" s="9" t="str">
        <f>IFERROR(__xludf.DUMMYFUNCTION("""COMPUTED_VALUE"""),"")</f>
        <v/>
      </c>
      <c r="Y7" s="7" t="s">
        <v>55</v>
      </c>
      <c r="Z7" s="9"/>
      <c r="AA7" s="9"/>
    </row>
    <row r="8">
      <c r="A8" s="4" t="s">
        <v>56</v>
      </c>
      <c r="B8" s="4" t="s">
        <v>26</v>
      </c>
      <c r="C8" s="4" t="s">
        <v>56</v>
      </c>
      <c r="D8" s="5" t="s">
        <v>57</v>
      </c>
      <c r="E8" s="4" t="s">
        <v>39</v>
      </c>
      <c r="F8" s="4" t="s">
        <v>26</v>
      </c>
      <c r="G8" s="4" t="s">
        <v>26</v>
      </c>
      <c r="H8" s="4">
        <v>10.0</v>
      </c>
      <c r="I8" s="4">
        <v>0.0</v>
      </c>
      <c r="J8" s="4" t="s">
        <v>58</v>
      </c>
      <c r="K8" s="6">
        <f t="shared" si="1"/>
        <v>6.666666667</v>
      </c>
      <c r="L8" s="4" t="s">
        <v>26</v>
      </c>
      <c r="M8" s="4" t="s">
        <v>26</v>
      </c>
      <c r="N8" s="4">
        <v>5.0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>
        <v>200.0</v>
      </c>
      <c r="U8" s="4">
        <v>1.5</v>
      </c>
      <c r="V8" s="4" t="s">
        <v>26</v>
      </c>
      <c r="W8" s="6"/>
      <c r="X8" s="6" t="str">
        <f>IFERROR(__xludf.DUMMYFUNCTION("""COMPUTED_VALUE"""),"")</f>
        <v/>
      </c>
      <c r="Y8" s="4" t="s">
        <v>59</v>
      </c>
      <c r="Z8" s="6"/>
      <c r="AA8" s="6"/>
    </row>
    <row r="9">
      <c r="A9" s="7" t="s">
        <v>60</v>
      </c>
      <c r="B9" s="7" t="s">
        <v>26</v>
      </c>
      <c r="C9" s="7" t="s">
        <v>61</v>
      </c>
      <c r="D9" s="8" t="s">
        <v>62</v>
      </c>
      <c r="E9" s="7" t="s">
        <v>63</v>
      </c>
      <c r="F9" s="7" t="s">
        <v>26</v>
      </c>
      <c r="G9" s="7" t="s">
        <v>64</v>
      </c>
      <c r="H9" s="7">
        <v>60.0</v>
      </c>
      <c r="I9" s="7">
        <v>50.0</v>
      </c>
      <c r="J9" s="7" t="s">
        <v>34</v>
      </c>
      <c r="K9" s="9">
        <f t="shared" si="1"/>
        <v>34.28571429</v>
      </c>
      <c r="L9" s="7">
        <v>1.5</v>
      </c>
      <c r="M9" s="7" t="s">
        <v>26</v>
      </c>
      <c r="N9" s="7">
        <v>70.0</v>
      </c>
      <c r="O9" s="7" t="s">
        <v>26</v>
      </c>
      <c r="P9" s="7" t="s">
        <v>26</v>
      </c>
      <c r="Q9" s="7" t="s">
        <v>65</v>
      </c>
      <c r="R9" s="7" t="s">
        <v>26</v>
      </c>
      <c r="S9" s="7" t="s">
        <v>66</v>
      </c>
      <c r="T9" s="7">
        <v>3100.0</v>
      </c>
      <c r="U9" s="7">
        <v>1.75</v>
      </c>
      <c r="V9" s="7" t="s">
        <v>26</v>
      </c>
      <c r="W9" s="9"/>
      <c r="X9" s="9" t="str">
        <f>IFERROR(__xludf.DUMMYFUNCTION("""COMPUTED_VALUE"""),"F")</f>
        <v>F</v>
      </c>
      <c r="Y9" s="7" t="s">
        <v>41</v>
      </c>
      <c r="Z9" s="9"/>
      <c r="AA9" s="9"/>
    </row>
    <row r="10">
      <c r="A10" s="4" t="s">
        <v>67</v>
      </c>
      <c r="B10" s="4" t="s">
        <v>26</v>
      </c>
      <c r="C10" s="4" t="s">
        <v>68</v>
      </c>
      <c r="D10" s="5" t="s">
        <v>69</v>
      </c>
      <c r="E10" s="4" t="s">
        <v>29</v>
      </c>
      <c r="F10" s="4" t="s">
        <v>26</v>
      </c>
      <c r="G10" s="4" t="s">
        <v>26</v>
      </c>
      <c r="H10" s="4">
        <v>50.0</v>
      </c>
      <c r="I10" s="4">
        <v>0.0</v>
      </c>
      <c r="J10" s="4" t="s">
        <v>46</v>
      </c>
      <c r="K10" s="6">
        <f t="shared" si="1"/>
        <v>33.33333333</v>
      </c>
      <c r="L10" s="4" t="s">
        <v>26</v>
      </c>
      <c r="M10" s="4" t="s">
        <v>26</v>
      </c>
      <c r="N10" s="4">
        <v>10.0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>
        <v>500.0</v>
      </c>
      <c r="U10" s="4">
        <v>1.5</v>
      </c>
      <c r="V10" s="4" t="s">
        <v>26</v>
      </c>
      <c r="W10" s="6"/>
      <c r="X10" s="6" t="str">
        <f>IFERROR(__xludf.DUMMYFUNCTION("""COMPUTED_VALUE"""),"")</f>
        <v/>
      </c>
      <c r="Y10" s="4" t="s">
        <v>70</v>
      </c>
      <c r="Z10" s="6"/>
      <c r="AA10" s="6"/>
    </row>
    <row r="11">
      <c r="A11" s="7" t="s">
        <v>71</v>
      </c>
      <c r="B11" s="7">
        <v>0.15</v>
      </c>
      <c r="C11" s="7" t="s">
        <v>72</v>
      </c>
      <c r="D11" s="8" t="s">
        <v>73</v>
      </c>
      <c r="E11" s="7" t="s">
        <v>74</v>
      </c>
      <c r="F11" s="7" t="s">
        <v>26</v>
      </c>
      <c r="G11" s="7" t="s">
        <v>75</v>
      </c>
      <c r="H11" s="7">
        <v>15.0</v>
      </c>
      <c r="I11" s="7">
        <v>0.0</v>
      </c>
      <c r="J11" s="7" t="s">
        <v>30</v>
      </c>
      <c r="K11" s="9">
        <f t="shared" si="1"/>
        <v>20</v>
      </c>
      <c r="L11" s="7" t="s">
        <v>26</v>
      </c>
      <c r="M11" s="7">
        <v>0.1</v>
      </c>
      <c r="N11" s="7">
        <v>6.0</v>
      </c>
      <c r="O11" s="7">
        <v>10.0</v>
      </c>
      <c r="P11" s="7" t="s">
        <v>26</v>
      </c>
      <c r="Q11" s="7" t="s">
        <v>7</v>
      </c>
      <c r="R11" s="7" t="s">
        <v>26</v>
      </c>
      <c r="S11" s="7" t="s">
        <v>75</v>
      </c>
      <c r="T11" s="7">
        <v>60.0</v>
      </c>
      <c r="U11" s="7">
        <v>0.75</v>
      </c>
      <c r="V11" s="7">
        <v>2.0</v>
      </c>
      <c r="W11" s="9"/>
      <c r="X11" s="9" t="str">
        <f>IFERROR(__xludf.DUMMYFUNCTION("""COMPUTED_VALUE"""),"")</f>
        <v/>
      </c>
      <c r="Y11" s="7" t="s">
        <v>31</v>
      </c>
      <c r="Z11" s="9"/>
      <c r="AA11" s="9"/>
    </row>
    <row r="12">
      <c r="A12" s="4" t="s">
        <v>76</v>
      </c>
      <c r="B12" s="4" t="s">
        <v>26</v>
      </c>
      <c r="C12" s="4" t="s">
        <v>76</v>
      </c>
      <c r="D12" s="5" t="s">
        <v>77</v>
      </c>
      <c r="E12" s="4" t="s">
        <v>45</v>
      </c>
      <c r="F12" s="4" t="s">
        <v>26</v>
      </c>
      <c r="G12" s="4" t="s">
        <v>54</v>
      </c>
      <c r="H12" s="4">
        <v>41.0</v>
      </c>
      <c r="I12" s="4">
        <v>0.0</v>
      </c>
      <c r="J12" s="4" t="s">
        <v>34</v>
      </c>
      <c r="K12" s="6">
        <f t="shared" si="1"/>
        <v>20.5</v>
      </c>
      <c r="L12" s="4" t="s">
        <v>26</v>
      </c>
      <c r="M12" s="4" t="s">
        <v>26</v>
      </c>
      <c r="N12" s="4">
        <v>45.0</v>
      </c>
      <c r="O12" s="4" t="s">
        <v>26</v>
      </c>
      <c r="P12" s="4" t="s">
        <v>26</v>
      </c>
      <c r="Q12" s="4" t="s">
        <v>54</v>
      </c>
      <c r="R12" s="4" t="s">
        <v>26</v>
      </c>
      <c r="S12" s="4" t="s">
        <v>54</v>
      </c>
      <c r="T12" s="4">
        <v>120.0</v>
      </c>
      <c r="U12" s="4">
        <v>2.0</v>
      </c>
      <c r="V12" s="4" t="s">
        <v>26</v>
      </c>
      <c r="W12" s="6"/>
      <c r="X12" s="6" t="str">
        <f>IFERROR(__xludf.DUMMYFUNCTION("""COMPUTED_VALUE"""),"D")</f>
        <v>D</v>
      </c>
      <c r="Y12" s="4" t="s">
        <v>41</v>
      </c>
      <c r="Z12" s="6"/>
      <c r="AA12" s="6"/>
    </row>
    <row r="13">
      <c r="A13" s="7" t="s">
        <v>78</v>
      </c>
      <c r="B13" s="7" t="s">
        <v>26</v>
      </c>
      <c r="C13" s="7" t="s">
        <v>78</v>
      </c>
      <c r="D13" s="8" t="s">
        <v>79</v>
      </c>
      <c r="E13" s="7" t="s">
        <v>80</v>
      </c>
      <c r="F13" s="7" t="s">
        <v>26</v>
      </c>
      <c r="G13" s="7" t="s">
        <v>81</v>
      </c>
      <c r="H13" s="7">
        <v>35.0</v>
      </c>
      <c r="I13" s="7">
        <v>0.0</v>
      </c>
      <c r="J13" s="7" t="s">
        <v>34</v>
      </c>
      <c r="K13" s="9">
        <f t="shared" si="1"/>
        <v>25</v>
      </c>
      <c r="L13" s="7" t="s">
        <v>26</v>
      </c>
      <c r="M13" s="7" t="s">
        <v>26</v>
      </c>
      <c r="N13" s="7">
        <v>35.0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  <c r="T13" s="7">
        <v>130.0</v>
      </c>
      <c r="U13" s="7">
        <v>1.4</v>
      </c>
      <c r="V13" s="7" t="s">
        <v>26</v>
      </c>
      <c r="W13" s="9"/>
      <c r="X13" s="9" t="str">
        <f>IFERROR(__xludf.DUMMYFUNCTION("""COMPUTED_VALUE"""),"")</f>
        <v/>
      </c>
      <c r="Y13" s="7" t="s">
        <v>41</v>
      </c>
      <c r="Z13" s="9"/>
      <c r="AA13" s="9"/>
    </row>
    <row r="14">
      <c r="A14" s="4" t="s">
        <v>63</v>
      </c>
      <c r="B14" s="4" t="s">
        <v>26</v>
      </c>
      <c r="C14" s="4" t="s">
        <v>63</v>
      </c>
      <c r="D14" s="5" t="s">
        <v>82</v>
      </c>
      <c r="E14" s="4" t="s">
        <v>63</v>
      </c>
      <c r="F14" s="4" t="s">
        <v>26</v>
      </c>
      <c r="G14" s="4" t="s">
        <v>26</v>
      </c>
      <c r="H14" s="4">
        <v>15.0</v>
      </c>
      <c r="I14" s="4">
        <v>0.0</v>
      </c>
      <c r="J14" s="4" t="s">
        <v>30</v>
      </c>
      <c r="K14" s="6">
        <f t="shared" si="1"/>
        <v>12.5</v>
      </c>
      <c r="L14" s="4" t="s">
        <v>26</v>
      </c>
      <c r="M14" s="4" t="s">
        <v>26</v>
      </c>
      <c r="N14" s="4">
        <v>30.0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>
        <v>80.0</v>
      </c>
      <c r="U14" s="4">
        <v>1.2</v>
      </c>
      <c r="V14" s="4" t="s">
        <v>26</v>
      </c>
      <c r="W14" s="6"/>
      <c r="X14" s="6" t="str">
        <f>IFERROR(__xludf.DUMMYFUNCTION("""COMPUTED_VALUE"""),"")</f>
        <v/>
      </c>
      <c r="Y14" s="4" t="s">
        <v>83</v>
      </c>
      <c r="Z14" s="6"/>
      <c r="AA14" s="6"/>
    </row>
    <row r="15">
      <c r="A15" s="7" t="s">
        <v>84</v>
      </c>
      <c r="B15" s="7" t="s">
        <v>26</v>
      </c>
      <c r="C15" s="7" t="s">
        <v>84</v>
      </c>
      <c r="D15" s="8" t="s">
        <v>85</v>
      </c>
      <c r="E15" s="7" t="s">
        <v>86</v>
      </c>
      <c r="F15" s="7" t="s">
        <v>26</v>
      </c>
      <c r="G15" s="7" t="s">
        <v>26</v>
      </c>
      <c r="H15" s="7">
        <v>0.0</v>
      </c>
      <c r="I15" s="7">
        <v>0.0</v>
      </c>
      <c r="J15" s="7" t="s">
        <v>34</v>
      </c>
      <c r="K15" s="9" t="str">
        <f t="shared" si="1"/>
        <v>N/A</v>
      </c>
      <c r="L15" s="7" t="s">
        <v>26</v>
      </c>
      <c r="M15" s="7" t="s">
        <v>26</v>
      </c>
      <c r="N15" s="7">
        <v>10.0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  <c r="T15" s="7">
        <v>250.0</v>
      </c>
      <c r="U15" s="7">
        <v>3.0</v>
      </c>
      <c r="V15" s="7" t="s">
        <v>26</v>
      </c>
      <c r="W15" s="9"/>
      <c r="X15" s="9" t="str">
        <f>IFERROR(__xludf.DUMMYFUNCTION("""COMPUTED_VALUE"""),"C")</f>
        <v>C</v>
      </c>
      <c r="Y15" s="7" t="s">
        <v>41</v>
      </c>
      <c r="Z15" s="9"/>
      <c r="AA15" s="9"/>
    </row>
    <row r="16">
      <c r="A16" s="4" t="s">
        <v>87</v>
      </c>
      <c r="B16" s="4">
        <v>0.15</v>
      </c>
      <c r="C16" s="4" t="s">
        <v>88</v>
      </c>
      <c r="D16" s="5" t="s">
        <v>89</v>
      </c>
      <c r="E16" s="4" t="s">
        <v>74</v>
      </c>
      <c r="F16" s="4" t="s">
        <v>26</v>
      </c>
      <c r="G16" s="4" t="s">
        <v>26</v>
      </c>
      <c r="H16" s="4">
        <v>60.0</v>
      </c>
      <c r="I16" s="4">
        <v>0.0</v>
      </c>
      <c r="J16" s="4" t="s">
        <v>90</v>
      </c>
      <c r="K16" s="6">
        <f t="shared" si="1"/>
        <v>15</v>
      </c>
      <c r="L16" s="4" t="s">
        <v>26</v>
      </c>
      <c r="M16" s="4">
        <v>0.1</v>
      </c>
      <c r="N16" s="4">
        <v>8.0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  <c r="T16" s="4">
        <v>40.0</v>
      </c>
      <c r="U16" s="4">
        <v>4.0</v>
      </c>
      <c r="V16" s="4" t="s">
        <v>26</v>
      </c>
      <c r="W16" s="6"/>
      <c r="X16" s="6" t="str">
        <f>IFERROR(__xludf.DUMMYFUNCTION("""COMPUTED_VALUE"""),"")</f>
        <v/>
      </c>
      <c r="Y16" s="4" t="s">
        <v>91</v>
      </c>
      <c r="Z16" s="6"/>
      <c r="AA16" s="6"/>
    </row>
    <row r="17">
      <c r="A17" s="7" t="s">
        <v>92</v>
      </c>
      <c r="B17" s="7">
        <v>0.02</v>
      </c>
      <c r="C17" s="7" t="s">
        <v>92</v>
      </c>
      <c r="D17" s="8" t="s">
        <v>93</v>
      </c>
      <c r="E17" s="7" t="s">
        <v>29</v>
      </c>
      <c r="F17" s="7" t="s">
        <v>26</v>
      </c>
      <c r="G17" s="7" t="s">
        <v>26</v>
      </c>
      <c r="H17" s="7">
        <v>85.0</v>
      </c>
      <c r="I17" s="7">
        <v>10.0</v>
      </c>
      <c r="J17" s="7" t="s">
        <v>34</v>
      </c>
      <c r="K17" s="9">
        <f t="shared" si="1"/>
        <v>50</v>
      </c>
      <c r="L17" s="7" t="s">
        <v>26</v>
      </c>
      <c r="M17" s="7">
        <v>0.04</v>
      </c>
      <c r="N17" s="7">
        <v>10.0</v>
      </c>
      <c r="O17" s="7" t="s">
        <v>26</v>
      </c>
      <c r="P17" s="7">
        <v>1.5</v>
      </c>
      <c r="Q17" s="7" t="s">
        <v>26</v>
      </c>
      <c r="R17" s="7" t="s">
        <v>26</v>
      </c>
      <c r="S17" s="7" t="s">
        <v>26</v>
      </c>
      <c r="T17" s="7">
        <v>500.0</v>
      </c>
      <c r="U17" s="7">
        <v>1.7</v>
      </c>
      <c r="V17" s="7" t="s">
        <v>26</v>
      </c>
      <c r="W17" s="9"/>
      <c r="X17" s="9" t="str">
        <f>IFERROR(__xludf.DUMMYFUNCTION("""COMPUTED_VALUE"""),"")</f>
        <v/>
      </c>
      <c r="Y17" s="7" t="s">
        <v>41</v>
      </c>
      <c r="Z17" s="9"/>
      <c r="AA17" s="9"/>
    </row>
    <row r="18">
      <c r="A18" s="4" t="s">
        <v>94</v>
      </c>
      <c r="B18" s="4" t="s">
        <v>26</v>
      </c>
      <c r="C18" s="4" t="s">
        <v>94</v>
      </c>
      <c r="D18" s="5" t="s">
        <v>95</v>
      </c>
      <c r="E18" s="4" t="s">
        <v>63</v>
      </c>
      <c r="F18" s="4" t="s">
        <v>26</v>
      </c>
      <c r="G18" s="4" t="s">
        <v>96</v>
      </c>
      <c r="H18" s="4">
        <v>20.0</v>
      </c>
      <c r="I18" s="4">
        <v>0.0</v>
      </c>
      <c r="J18" s="4" t="s">
        <v>30</v>
      </c>
      <c r="K18" s="6">
        <f t="shared" si="1"/>
        <v>6.666666667</v>
      </c>
      <c r="L18" s="4" t="s">
        <v>26</v>
      </c>
      <c r="M18" s="4" t="s">
        <v>26</v>
      </c>
      <c r="N18" s="4">
        <v>30.0</v>
      </c>
      <c r="O18" s="4" t="s">
        <v>26</v>
      </c>
      <c r="P18" s="4" t="s">
        <v>26</v>
      </c>
      <c r="Q18" s="4" t="s">
        <v>7</v>
      </c>
      <c r="R18" s="4" t="s">
        <v>26</v>
      </c>
      <c r="S18" s="4" t="s">
        <v>97</v>
      </c>
      <c r="T18" s="4">
        <v>70.0</v>
      </c>
      <c r="U18" s="4">
        <v>3.0</v>
      </c>
      <c r="V18" s="4" t="s">
        <v>26</v>
      </c>
      <c r="W18" s="6"/>
      <c r="X18" s="6" t="str">
        <f>IFERROR(__xludf.DUMMYFUNCTION("""COMPUTED_VALUE"""),"")</f>
        <v/>
      </c>
      <c r="Y18" s="4" t="s">
        <v>98</v>
      </c>
      <c r="Z18" s="6"/>
      <c r="AA18" s="6"/>
    </row>
    <row r="19">
      <c r="A19" s="7" t="s">
        <v>99</v>
      </c>
      <c r="B19" s="7" t="s">
        <v>26</v>
      </c>
      <c r="C19" s="7" t="s">
        <v>99</v>
      </c>
      <c r="D19" s="8" t="s">
        <v>100</v>
      </c>
      <c r="E19" s="7" t="s">
        <v>29</v>
      </c>
      <c r="F19" s="7" t="s">
        <v>26</v>
      </c>
      <c r="G19" s="7" t="s">
        <v>101</v>
      </c>
      <c r="H19" s="7">
        <v>110.0</v>
      </c>
      <c r="I19" s="7">
        <v>0.0</v>
      </c>
      <c r="J19" s="7" t="s">
        <v>40</v>
      </c>
      <c r="K19" s="9">
        <f t="shared" si="1"/>
        <v>55</v>
      </c>
      <c r="L19" s="7" t="s">
        <v>26</v>
      </c>
      <c r="M19" s="7" t="s">
        <v>26</v>
      </c>
      <c r="N19" s="7">
        <v>10.0</v>
      </c>
      <c r="O19" s="7" t="s">
        <v>26</v>
      </c>
      <c r="P19" s="7" t="s">
        <v>26</v>
      </c>
      <c r="Q19" s="7" t="s">
        <v>101</v>
      </c>
      <c r="R19" s="7">
        <v>30.0</v>
      </c>
      <c r="S19" s="7" t="s">
        <v>101</v>
      </c>
      <c r="T19" s="7">
        <v>800.0</v>
      </c>
      <c r="U19" s="7">
        <v>2.0</v>
      </c>
      <c r="V19" s="7" t="s">
        <v>26</v>
      </c>
      <c r="W19" s="9"/>
      <c r="X19" s="9" t="str">
        <f>IFERROR(__xludf.DUMMYFUNCTION("""COMPUTED_VALUE"""),"D")</f>
        <v>D</v>
      </c>
      <c r="Y19" s="7" t="s">
        <v>102</v>
      </c>
      <c r="Z19" s="9"/>
      <c r="AA19" s="9"/>
    </row>
    <row r="20">
      <c r="A20" s="4" t="s">
        <v>103</v>
      </c>
      <c r="B20" s="4" t="s">
        <v>26</v>
      </c>
      <c r="C20" s="4" t="s">
        <v>104</v>
      </c>
      <c r="D20" s="5" t="s">
        <v>105</v>
      </c>
      <c r="E20" s="4" t="s">
        <v>86</v>
      </c>
      <c r="F20" s="4" t="s">
        <v>26</v>
      </c>
      <c r="G20" s="4" t="s">
        <v>26</v>
      </c>
      <c r="H20" s="4">
        <v>0.0</v>
      </c>
      <c r="I20" s="4">
        <v>0.0</v>
      </c>
      <c r="J20" s="4" t="s">
        <v>46</v>
      </c>
      <c r="K20" s="6" t="str">
        <f t="shared" si="1"/>
        <v>N/A</v>
      </c>
      <c r="L20" s="4" t="s">
        <v>26</v>
      </c>
      <c r="M20" s="4" t="s">
        <v>26</v>
      </c>
      <c r="N20" s="4">
        <v>10.0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  <c r="T20" s="4">
        <v>110.0</v>
      </c>
      <c r="U20" s="4">
        <v>4.0</v>
      </c>
      <c r="V20" s="4" t="s">
        <v>26</v>
      </c>
      <c r="W20" s="6"/>
      <c r="X20" s="6" t="str">
        <f>IFERROR(__xludf.DUMMYFUNCTION("""COMPUTED_VALUE"""),"")</f>
        <v/>
      </c>
      <c r="Y20" s="4" t="s">
        <v>55</v>
      </c>
      <c r="Z20" s="6"/>
      <c r="AA20" s="6"/>
    </row>
    <row r="21">
      <c r="A21" s="7" t="s">
        <v>106</v>
      </c>
      <c r="B21" s="7" t="s">
        <v>26</v>
      </c>
      <c r="C21" s="7" t="s">
        <v>107</v>
      </c>
      <c r="D21" s="8" t="s">
        <v>108</v>
      </c>
      <c r="E21" s="7" t="s">
        <v>49</v>
      </c>
      <c r="F21" s="7" t="s">
        <v>26</v>
      </c>
      <c r="G21" s="7" t="s">
        <v>109</v>
      </c>
      <c r="H21" s="7">
        <v>0.0</v>
      </c>
      <c r="I21" s="7">
        <v>0.0</v>
      </c>
      <c r="J21" s="7" t="s">
        <v>46</v>
      </c>
      <c r="K21" s="9" t="str">
        <f t="shared" si="1"/>
        <v>N/A</v>
      </c>
      <c r="L21" s="7" t="s">
        <v>26</v>
      </c>
      <c r="M21" s="7" t="s">
        <v>26</v>
      </c>
      <c r="N21" s="7">
        <v>70.0</v>
      </c>
      <c r="O21" s="7" t="s">
        <v>26</v>
      </c>
      <c r="P21" s="7" t="s">
        <v>26</v>
      </c>
      <c r="Q21" s="7" t="s">
        <v>109</v>
      </c>
      <c r="R21" s="7" t="s">
        <v>26</v>
      </c>
      <c r="S21" s="7" t="s">
        <v>109</v>
      </c>
      <c r="T21" s="7">
        <v>70.0</v>
      </c>
      <c r="U21" s="7">
        <v>6.0</v>
      </c>
      <c r="V21" s="7" t="s">
        <v>26</v>
      </c>
      <c r="W21" s="9"/>
      <c r="X21" s="9" t="str">
        <f>IFERROR(__xludf.DUMMYFUNCTION("""COMPUTED_VALUE"""),"F")</f>
        <v>F</v>
      </c>
      <c r="Y21" s="7" t="s">
        <v>91</v>
      </c>
      <c r="Z21" s="9"/>
      <c r="AA21" s="9"/>
    </row>
    <row r="22">
      <c r="A22" s="4" t="s">
        <v>110</v>
      </c>
      <c r="B22" s="4" t="s">
        <v>26</v>
      </c>
      <c r="C22" s="4" t="s">
        <v>111</v>
      </c>
      <c r="D22" s="5" t="s">
        <v>112</v>
      </c>
      <c r="E22" s="4" t="s">
        <v>63</v>
      </c>
      <c r="F22" s="4" t="s">
        <v>26</v>
      </c>
      <c r="G22" s="4" t="s">
        <v>26</v>
      </c>
      <c r="H22" s="4">
        <v>15.0</v>
      </c>
      <c r="I22" s="4">
        <v>0.0</v>
      </c>
      <c r="J22" s="4" t="s">
        <v>46</v>
      </c>
      <c r="K22" s="6">
        <f t="shared" si="1"/>
        <v>12</v>
      </c>
      <c r="L22" s="4" t="s">
        <v>26</v>
      </c>
      <c r="M22" s="4" t="s">
        <v>26</v>
      </c>
      <c r="N22" s="4">
        <v>30.0</v>
      </c>
      <c r="O22" s="4" t="s">
        <v>26</v>
      </c>
      <c r="P22" s="4" t="s">
        <v>26</v>
      </c>
      <c r="Q22" s="4" t="s">
        <v>26</v>
      </c>
      <c r="R22" s="4" t="s">
        <v>26</v>
      </c>
      <c r="S22" s="4" t="s">
        <v>26</v>
      </c>
      <c r="T22" s="4">
        <v>110.0</v>
      </c>
      <c r="U22" s="4">
        <v>1.25</v>
      </c>
      <c r="V22" s="4" t="s">
        <v>26</v>
      </c>
      <c r="W22" s="6"/>
      <c r="X22" s="6" t="str">
        <f>IFERROR(__xludf.DUMMYFUNCTION("""COMPUTED_VALUE"""),"")</f>
        <v/>
      </c>
      <c r="Y22" s="4" t="s">
        <v>55</v>
      </c>
      <c r="Z22" s="6"/>
      <c r="AA22" s="6"/>
    </row>
    <row r="23">
      <c r="A23" s="7" t="s">
        <v>113</v>
      </c>
      <c r="B23" s="7" t="s">
        <v>26</v>
      </c>
      <c r="C23" s="7" t="s">
        <v>114</v>
      </c>
      <c r="D23" s="8" t="s">
        <v>115</v>
      </c>
      <c r="E23" s="7" t="s">
        <v>29</v>
      </c>
      <c r="F23" s="7" t="s">
        <v>26</v>
      </c>
      <c r="G23" s="7" t="s">
        <v>26</v>
      </c>
      <c r="H23" s="7">
        <v>20.0</v>
      </c>
      <c r="I23" s="7">
        <v>0.0</v>
      </c>
      <c r="J23" s="7" t="s">
        <v>30</v>
      </c>
      <c r="K23" s="9">
        <f t="shared" si="1"/>
        <v>18.18181818</v>
      </c>
      <c r="L23" s="7" t="s">
        <v>26</v>
      </c>
      <c r="M23" s="7" t="s">
        <v>26</v>
      </c>
      <c r="N23" s="7">
        <v>6.0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  <c r="T23" s="7">
        <v>190.0</v>
      </c>
      <c r="U23" s="7">
        <v>1.1</v>
      </c>
      <c r="V23" s="7" t="s">
        <v>26</v>
      </c>
      <c r="W23" s="9"/>
      <c r="X23" s="9" t="str">
        <f>IFERROR(__xludf.DUMMYFUNCTION("""COMPUTED_VALUE"""),"")</f>
        <v/>
      </c>
      <c r="Y23" s="7" t="s">
        <v>70</v>
      </c>
      <c r="Z23" s="9"/>
      <c r="AA23" s="9"/>
    </row>
    <row r="24">
      <c r="A24" s="4" t="s">
        <v>116</v>
      </c>
      <c r="B24" s="4" t="s">
        <v>26</v>
      </c>
      <c r="C24" s="4" t="s">
        <v>117</v>
      </c>
      <c r="D24" s="5" t="s">
        <v>118</v>
      </c>
      <c r="E24" s="4" t="s">
        <v>49</v>
      </c>
      <c r="F24" s="4" t="s">
        <v>26</v>
      </c>
      <c r="G24" s="4" t="s">
        <v>109</v>
      </c>
      <c r="H24" s="4">
        <v>37.0</v>
      </c>
      <c r="I24" s="4">
        <v>10.0</v>
      </c>
      <c r="J24" s="4" t="s">
        <v>40</v>
      </c>
      <c r="K24" s="6">
        <f t="shared" si="1"/>
        <v>6.379310345</v>
      </c>
      <c r="L24" s="4" t="s">
        <v>26</v>
      </c>
      <c r="M24" s="4">
        <v>0.04</v>
      </c>
      <c r="N24" s="4">
        <v>70.0</v>
      </c>
      <c r="O24" s="4" t="s">
        <v>26</v>
      </c>
      <c r="P24" s="4" t="s">
        <v>26</v>
      </c>
      <c r="Q24" s="4" t="s">
        <v>109</v>
      </c>
      <c r="R24" s="4" t="s">
        <v>26</v>
      </c>
      <c r="S24" s="4" t="s">
        <v>109</v>
      </c>
      <c r="T24" s="4">
        <v>200.0</v>
      </c>
      <c r="U24" s="4">
        <v>5.8</v>
      </c>
      <c r="V24" s="4" t="s">
        <v>26</v>
      </c>
      <c r="W24" s="6"/>
      <c r="X24" s="6" t="str">
        <f>IFERROR(__xludf.DUMMYFUNCTION("""COMPUTED_VALUE"""),"S")</f>
        <v>S</v>
      </c>
      <c r="Y24" s="4" t="s">
        <v>41</v>
      </c>
      <c r="Z24" s="6"/>
      <c r="AA24" s="6"/>
    </row>
    <row r="25">
      <c r="A25" s="7" t="s">
        <v>119</v>
      </c>
      <c r="B25" s="7" t="s">
        <v>26</v>
      </c>
      <c r="C25" s="7" t="s">
        <v>119</v>
      </c>
      <c r="D25" s="8" t="s">
        <v>120</v>
      </c>
      <c r="E25" s="7" t="s">
        <v>39</v>
      </c>
      <c r="F25" s="7" t="s">
        <v>26</v>
      </c>
      <c r="G25" s="7" t="s">
        <v>26</v>
      </c>
      <c r="H25" s="7">
        <v>15.0</v>
      </c>
      <c r="I25" s="7">
        <v>0.0</v>
      </c>
      <c r="J25" s="7" t="s">
        <v>30</v>
      </c>
      <c r="K25" s="9">
        <f t="shared" si="1"/>
        <v>10</v>
      </c>
      <c r="L25" s="7" t="s">
        <v>26</v>
      </c>
      <c r="M25" s="7" t="s">
        <v>26</v>
      </c>
      <c r="N25" s="7">
        <v>6.0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  <c r="T25" s="7">
        <v>450.0</v>
      </c>
      <c r="U25" s="7">
        <v>1.5</v>
      </c>
      <c r="V25" s="7" t="s">
        <v>26</v>
      </c>
      <c r="W25" s="9"/>
      <c r="X25" s="9" t="str">
        <f>IFERROR(__xludf.DUMMYFUNCTION("""COMPUTED_VALUE"""),"")</f>
        <v/>
      </c>
      <c r="Y25" s="7" t="s">
        <v>121</v>
      </c>
      <c r="Z25" s="9"/>
      <c r="AA25" s="9"/>
    </row>
    <row r="26">
      <c r="A26" s="4" t="s">
        <v>122</v>
      </c>
      <c r="B26" s="4" t="s">
        <v>26</v>
      </c>
      <c r="C26" s="4" t="s">
        <v>123</v>
      </c>
      <c r="D26" s="5" t="s">
        <v>124</v>
      </c>
      <c r="E26" s="4" t="s">
        <v>80</v>
      </c>
      <c r="F26" s="4" t="s">
        <v>26</v>
      </c>
      <c r="G26" s="4" t="s">
        <v>81</v>
      </c>
      <c r="H26" s="4">
        <v>14.0</v>
      </c>
      <c r="I26" s="4">
        <v>0.0</v>
      </c>
      <c r="J26" s="4" t="s">
        <v>46</v>
      </c>
      <c r="K26" s="6">
        <f t="shared" si="1"/>
        <v>9.333333333</v>
      </c>
      <c r="L26" s="4" t="s">
        <v>26</v>
      </c>
      <c r="M26" s="4" t="s">
        <v>26</v>
      </c>
      <c r="N26" s="4">
        <v>25.0</v>
      </c>
      <c r="O26" s="4" t="s">
        <v>26</v>
      </c>
      <c r="P26" s="4" t="s">
        <v>26</v>
      </c>
      <c r="Q26" s="4" t="s">
        <v>26</v>
      </c>
      <c r="R26" s="4" t="s">
        <v>26</v>
      </c>
      <c r="S26" s="4" t="s">
        <v>26</v>
      </c>
      <c r="T26" s="4">
        <v>90.0</v>
      </c>
      <c r="U26" s="4">
        <v>1.5</v>
      </c>
      <c r="V26" s="4" t="s">
        <v>26</v>
      </c>
      <c r="W26" s="6"/>
      <c r="X26" s="6" t="str">
        <f>IFERROR(__xludf.DUMMYFUNCTION("""COMPUTED_VALUE"""),"")</f>
        <v/>
      </c>
      <c r="Y26" s="4" t="s">
        <v>70</v>
      </c>
      <c r="Z26" s="6"/>
      <c r="AA26" s="6"/>
    </row>
    <row r="27">
      <c r="A27" s="7" t="s">
        <v>125</v>
      </c>
      <c r="B27" s="7" t="s">
        <v>26</v>
      </c>
      <c r="C27" s="7" t="s">
        <v>126</v>
      </c>
      <c r="D27" s="8" t="s">
        <v>127</v>
      </c>
      <c r="E27" s="7" t="s">
        <v>45</v>
      </c>
      <c r="F27" s="7" t="s">
        <v>26</v>
      </c>
      <c r="G27" s="7" t="s">
        <v>96</v>
      </c>
      <c r="H27" s="7">
        <v>140.0</v>
      </c>
      <c r="I27" s="7">
        <v>50.0</v>
      </c>
      <c r="J27" s="7" t="s">
        <v>34</v>
      </c>
      <c r="K27" s="9">
        <f t="shared" si="1"/>
        <v>46.66666667</v>
      </c>
      <c r="L27" s="7">
        <v>1.5</v>
      </c>
      <c r="M27" s="7" t="s">
        <v>26</v>
      </c>
      <c r="N27" s="7">
        <v>60.0</v>
      </c>
      <c r="O27" s="7" t="s">
        <v>26</v>
      </c>
      <c r="P27" s="7" t="s">
        <v>26</v>
      </c>
      <c r="Q27" s="7" t="s">
        <v>7</v>
      </c>
      <c r="R27" s="7" t="s">
        <v>26</v>
      </c>
      <c r="S27" s="7" t="s">
        <v>97</v>
      </c>
      <c r="T27" s="7">
        <v>1100.0</v>
      </c>
      <c r="U27" s="7">
        <v>3.0</v>
      </c>
      <c r="V27" s="7" t="s">
        <v>26</v>
      </c>
      <c r="W27" s="9"/>
      <c r="X27" s="9" t="str">
        <f>IFERROR(__xludf.DUMMYFUNCTION("""COMPUTED_VALUE"""),"F")</f>
        <v>F</v>
      </c>
      <c r="Y27" s="7" t="s">
        <v>41</v>
      </c>
      <c r="Z27" s="9"/>
      <c r="AA27" s="9"/>
    </row>
    <row r="28">
      <c r="A28" s="4" t="s">
        <v>128</v>
      </c>
      <c r="B28" s="4">
        <v>0.08</v>
      </c>
      <c r="C28" s="4" t="s">
        <v>128</v>
      </c>
      <c r="D28" s="5" t="s">
        <v>129</v>
      </c>
      <c r="E28" s="4" t="s">
        <v>45</v>
      </c>
      <c r="F28" s="4" t="s">
        <v>26</v>
      </c>
      <c r="G28" s="4" t="s">
        <v>26</v>
      </c>
      <c r="H28" s="4">
        <v>110.0</v>
      </c>
      <c r="I28" s="4">
        <v>0.0</v>
      </c>
      <c r="J28" s="4" t="s">
        <v>34</v>
      </c>
      <c r="K28" s="6">
        <f t="shared" si="1"/>
        <v>28.94736842</v>
      </c>
      <c r="L28" s="4" t="s">
        <v>26</v>
      </c>
      <c r="M28" s="4">
        <v>0.05</v>
      </c>
      <c r="N28" s="4">
        <v>55.0</v>
      </c>
      <c r="O28" s="4" t="s">
        <v>26</v>
      </c>
      <c r="P28" s="4">
        <v>15.0</v>
      </c>
      <c r="Q28" s="4" t="s">
        <v>26</v>
      </c>
      <c r="R28" s="4" t="s">
        <v>26</v>
      </c>
      <c r="S28" s="4" t="s">
        <v>26</v>
      </c>
      <c r="T28" s="4">
        <v>210.0</v>
      </c>
      <c r="U28" s="4">
        <v>3.8</v>
      </c>
      <c r="V28" s="4" t="s">
        <v>26</v>
      </c>
      <c r="W28" s="6"/>
      <c r="X28" s="6" t="str">
        <f>IFERROR(__xludf.DUMMYFUNCTION("""COMPUTED_VALUE"""),"B")</f>
        <v>B</v>
      </c>
      <c r="Y28" s="4" t="s">
        <v>41</v>
      </c>
      <c r="Z28" s="6"/>
      <c r="AA28" s="6"/>
    </row>
    <row r="29">
      <c r="A29" s="7" t="s">
        <v>130</v>
      </c>
      <c r="B29" s="7" t="s">
        <v>26</v>
      </c>
      <c r="C29" s="7" t="s">
        <v>130</v>
      </c>
      <c r="D29" s="8" t="s">
        <v>131</v>
      </c>
      <c r="E29" s="7" t="s">
        <v>63</v>
      </c>
      <c r="F29" s="7" t="s">
        <v>26</v>
      </c>
      <c r="G29" s="7" t="s">
        <v>26</v>
      </c>
      <c r="H29" s="7">
        <v>20.0</v>
      </c>
      <c r="I29" s="7">
        <v>0.0</v>
      </c>
      <c r="J29" s="7" t="s">
        <v>34</v>
      </c>
      <c r="K29" s="9">
        <f t="shared" si="1"/>
        <v>16.66666667</v>
      </c>
      <c r="L29" s="7" t="s">
        <v>26</v>
      </c>
      <c r="M29" s="7" t="s">
        <v>26</v>
      </c>
      <c r="N29" s="7">
        <v>30.0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  <c r="T29" s="7">
        <v>120.0</v>
      </c>
      <c r="U29" s="7">
        <v>1.2</v>
      </c>
      <c r="V29" s="7" t="s">
        <v>26</v>
      </c>
      <c r="W29" s="9"/>
      <c r="X29" s="9" t="str">
        <f>IFERROR(__xludf.DUMMYFUNCTION("""COMPUTED_VALUE"""),"")</f>
        <v/>
      </c>
      <c r="Y29" s="7" t="s">
        <v>132</v>
      </c>
      <c r="Z29" s="9"/>
      <c r="AA29" s="9"/>
    </row>
    <row r="30">
      <c r="A30" s="4" t="s">
        <v>133</v>
      </c>
      <c r="B30" s="4" t="s">
        <v>26</v>
      </c>
      <c r="C30" s="4" t="s">
        <v>134</v>
      </c>
      <c r="D30" s="5" t="s">
        <v>135</v>
      </c>
      <c r="E30" s="4" t="s">
        <v>45</v>
      </c>
      <c r="F30" s="4" t="s">
        <v>26</v>
      </c>
      <c r="G30" s="4" t="s">
        <v>96</v>
      </c>
      <c r="H30" s="4">
        <v>20.0</v>
      </c>
      <c r="I30" s="4">
        <v>0.0</v>
      </c>
      <c r="J30" s="4" t="s">
        <v>90</v>
      </c>
      <c r="K30" s="6">
        <f t="shared" si="1"/>
        <v>20</v>
      </c>
      <c r="L30" s="4" t="s">
        <v>26</v>
      </c>
      <c r="M30" s="4" t="s">
        <v>26</v>
      </c>
      <c r="N30" s="4">
        <v>35.0</v>
      </c>
      <c r="O30" s="4" t="s">
        <v>26</v>
      </c>
      <c r="P30" s="4" t="s">
        <v>26</v>
      </c>
      <c r="Q30" s="4" t="s">
        <v>7</v>
      </c>
      <c r="R30" s="4" t="s">
        <v>26</v>
      </c>
      <c r="S30" s="4" t="s">
        <v>97</v>
      </c>
      <c r="T30" s="4">
        <v>80.0</v>
      </c>
      <c r="U30" s="4">
        <v>1.0</v>
      </c>
      <c r="V30" s="4" t="s">
        <v>26</v>
      </c>
      <c r="W30" s="6"/>
      <c r="X30" s="6" t="str">
        <f>IFERROR(__xludf.DUMMYFUNCTION("""COMPUTED_VALUE"""),"")</f>
        <v/>
      </c>
      <c r="Y30" s="4" t="s">
        <v>136</v>
      </c>
      <c r="Z30" s="6"/>
      <c r="AA30" s="6"/>
    </row>
    <row r="31">
      <c r="A31" s="7" t="s">
        <v>137</v>
      </c>
      <c r="B31" s="7" t="s">
        <v>26</v>
      </c>
      <c r="C31" s="7" t="s">
        <v>138</v>
      </c>
      <c r="D31" s="8" t="s">
        <v>139</v>
      </c>
      <c r="E31" s="7" t="s">
        <v>29</v>
      </c>
      <c r="F31" s="7" t="s">
        <v>26</v>
      </c>
      <c r="G31" s="7" t="s">
        <v>26</v>
      </c>
      <c r="H31" s="7">
        <v>40.0</v>
      </c>
      <c r="I31" s="7">
        <v>0.0</v>
      </c>
      <c r="J31" s="7" t="s">
        <v>46</v>
      </c>
      <c r="K31" s="9">
        <f t="shared" si="1"/>
        <v>61.53846154</v>
      </c>
      <c r="L31" s="7" t="s">
        <v>26</v>
      </c>
      <c r="M31" s="7" t="s">
        <v>26</v>
      </c>
      <c r="N31" s="7">
        <v>6.0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  <c r="T31" s="7">
        <v>300.0</v>
      </c>
      <c r="U31" s="7">
        <v>0.65</v>
      </c>
      <c r="V31" s="7" t="s">
        <v>26</v>
      </c>
      <c r="W31" s="9"/>
      <c r="X31" s="9" t="str">
        <f>IFERROR(__xludf.DUMMYFUNCTION("""COMPUTED_VALUE"""),"")</f>
        <v/>
      </c>
      <c r="Y31" s="7" t="s">
        <v>41</v>
      </c>
      <c r="Z31" s="9"/>
      <c r="AA31" s="9"/>
    </row>
    <row r="32">
      <c r="A32" s="4" t="s">
        <v>140</v>
      </c>
      <c r="B32" s="4" t="s">
        <v>26</v>
      </c>
      <c r="C32" s="4" t="s">
        <v>141</v>
      </c>
      <c r="D32" s="5" t="s">
        <v>142</v>
      </c>
      <c r="E32" s="4" t="s">
        <v>80</v>
      </c>
      <c r="F32" s="4" t="s">
        <v>26</v>
      </c>
      <c r="G32" s="4" t="s">
        <v>81</v>
      </c>
      <c r="H32" s="4">
        <v>5.0</v>
      </c>
      <c r="I32" s="4">
        <v>0.0</v>
      </c>
      <c r="J32" s="4" t="s">
        <v>30</v>
      </c>
      <c r="K32" s="6">
        <f t="shared" si="1"/>
        <v>5</v>
      </c>
      <c r="L32" s="4" t="s">
        <v>26</v>
      </c>
      <c r="M32" s="4" t="s">
        <v>26</v>
      </c>
      <c r="N32" s="4">
        <v>15.0</v>
      </c>
      <c r="O32" s="4" t="s">
        <v>26</v>
      </c>
      <c r="P32" s="4" t="s">
        <v>26</v>
      </c>
      <c r="Q32" s="4" t="s">
        <v>26</v>
      </c>
      <c r="R32" s="4" t="s">
        <v>26</v>
      </c>
      <c r="S32" s="4" t="s">
        <v>26</v>
      </c>
      <c r="T32" s="4">
        <v>70.0</v>
      </c>
      <c r="U32" s="4">
        <v>1.0</v>
      </c>
      <c r="V32" s="4" t="s">
        <v>26</v>
      </c>
      <c r="W32" s="6"/>
      <c r="X32" s="6" t="str">
        <f>IFERROR(__xludf.DUMMYFUNCTION("""COMPUTED_VALUE"""),"")</f>
        <v/>
      </c>
      <c r="Y32" s="4" t="s">
        <v>31</v>
      </c>
      <c r="Z32" s="6"/>
      <c r="AA32" s="6"/>
    </row>
    <row r="33">
      <c r="A33" s="7" t="s">
        <v>143</v>
      </c>
      <c r="B33" s="7">
        <v>0.05</v>
      </c>
      <c r="C33" s="7" t="s">
        <v>144</v>
      </c>
      <c r="D33" s="8" t="s">
        <v>145</v>
      </c>
      <c r="E33" s="7" t="s">
        <v>49</v>
      </c>
      <c r="F33" s="7" t="s">
        <v>26</v>
      </c>
      <c r="G33" s="7" t="s">
        <v>109</v>
      </c>
      <c r="H33" s="7">
        <v>5.0</v>
      </c>
      <c r="I33" s="7">
        <v>0.0</v>
      </c>
      <c r="J33" s="7" t="s">
        <v>34</v>
      </c>
      <c r="K33" s="9">
        <f t="shared" si="1"/>
        <v>0.8333333333</v>
      </c>
      <c r="L33" s="7">
        <v>100.0</v>
      </c>
      <c r="M33" s="7">
        <v>0.05</v>
      </c>
      <c r="N33" s="7">
        <v>70.0</v>
      </c>
      <c r="O33" s="7" t="s">
        <v>26</v>
      </c>
      <c r="P33" s="7">
        <v>1.75</v>
      </c>
      <c r="Q33" s="7" t="s">
        <v>109</v>
      </c>
      <c r="R33" s="7" t="s">
        <v>26</v>
      </c>
      <c r="S33" s="7" t="s">
        <v>109</v>
      </c>
      <c r="T33" s="7">
        <v>110.0</v>
      </c>
      <c r="U33" s="7">
        <v>6.0</v>
      </c>
      <c r="V33" s="7" t="s">
        <v>26</v>
      </c>
      <c r="W33" s="9"/>
      <c r="X33" s="9" t="str">
        <f>IFERROR(__xludf.DUMMYFUNCTION("""COMPUTED_VALUE"""),"D")</f>
        <v>D</v>
      </c>
      <c r="Y33" s="7" t="s">
        <v>146</v>
      </c>
      <c r="Z33" s="9"/>
      <c r="AA33" s="9"/>
    </row>
    <row r="34">
      <c r="A34" s="4" t="s">
        <v>147</v>
      </c>
      <c r="B34" s="4" t="s">
        <v>26</v>
      </c>
      <c r="C34" s="4" t="s">
        <v>147</v>
      </c>
      <c r="D34" s="5" t="s">
        <v>148</v>
      </c>
      <c r="E34" s="4" t="s">
        <v>29</v>
      </c>
      <c r="F34" s="4" t="s">
        <v>26</v>
      </c>
      <c r="G34" s="4" t="s">
        <v>101</v>
      </c>
      <c r="H34" s="4">
        <v>30.0</v>
      </c>
      <c r="I34" s="4">
        <v>0.0</v>
      </c>
      <c r="J34" s="4" t="s">
        <v>90</v>
      </c>
      <c r="K34" s="6">
        <f t="shared" si="1"/>
        <v>27.27272727</v>
      </c>
      <c r="L34" s="4" t="s">
        <v>26</v>
      </c>
      <c r="M34" s="4" t="s">
        <v>26</v>
      </c>
      <c r="N34" s="4">
        <v>7.0</v>
      </c>
      <c r="O34" s="4" t="s">
        <v>26</v>
      </c>
      <c r="P34" s="4" t="s">
        <v>26</v>
      </c>
      <c r="Q34" s="4" t="s">
        <v>101</v>
      </c>
      <c r="R34" s="4">
        <v>20.0</v>
      </c>
      <c r="S34" s="4" t="s">
        <v>101</v>
      </c>
      <c r="T34" s="4">
        <v>400.0</v>
      </c>
      <c r="U34" s="4">
        <v>1.1</v>
      </c>
      <c r="V34" s="4" t="s">
        <v>26</v>
      </c>
      <c r="W34" s="6"/>
      <c r="X34" s="6" t="str">
        <f>IFERROR(__xludf.DUMMYFUNCTION("""COMPUTED_VALUE"""),"")</f>
        <v/>
      </c>
      <c r="Y34" s="4" t="s">
        <v>149</v>
      </c>
      <c r="Z34" s="6"/>
      <c r="AA34" s="6"/>
    </row>
    <row r="35">
      <c r="A35" s="7" t="s">
        <v>150</v>
      </c>
      <c r="B35" s="7" t="s">
        <v>26</v>
      </c>
      <c r="C35" s="7" t="s">
        <v>150</v>
      </c>
      <c r="D35" s="8" t="s">
        <v>151</v>
      </c>
      <c r="E35" s="7" t="s">
        <v>45</v>
      </c>
      <c r="F35" s="7" t="s">
        <v>26</v>
      </c>
      <c r="G35" s="7" t="s">
        <v>54</v>
      </c>
      <c r="H35" s="7">
        <v>40.0</v>
      </c>
      <c r="I35" s="7">
        <v>0.0</v>
      </c>
      <c r="J35" s="7" t="s">
        <v>34</v>
      </c>
      <c r="K35" s="9">
        <f t="shared" si="1"/>
        <v>20</v>
      </c>
      <c r="L35" s="7" t="s">
        <v>26</v>
      </c>
      <c r="M35" s="7" t="s">
        <v>26</v>
      </c>
      <c r="N35" s="7">
        <v>45.0</v>
      </c>
      <c r="O35" s="7" t="s">
        <v>26</v>
      </c>
      <c r="P35" s="7" t="s">
        <v>26</v>
      </c>
      <c r="Q35" s="7" t="s">
        <v>54</v>
      </c>
      <c r="R35" s="7" t="s">
        <v>26</v>
      </c>
      <c r="S35" s="7" t="s">
        <v>54</v>
      </c>
      <c r="T35" s="7">
        <v>110.0</v>
      </c>
      <c r="U35" s="7">
        <v>2.0</v>
      </c>
      <c r="V35" s="7" t="s">
        <v>26</v>
      </c>
      <c r="W35" s="9"/>
      <c r="X35" s="9" t="str">
        <f>IFERROR(__xludf.DUMMYFUNCTION("""COMPUTED_VALUE"""),"")</f>
        <v/>
      </c>
      <c r="Y35" s="7" t="s">
        <v>132</v>
      </c>
      <c r="Z35" s="9"/>
      <c r="AA35" s="9"/>
    </row>
    <row r="36">
      <c r="A36" s="4" t="s">
        <v>152</v>
      </c>
      <c r="B36" s="4" t="s">
        <v>26</v>
      </c>
      <c r="C36" s="4" t="s">
        <v>152</v>
      </c>
      <c r="D36" s="5" t="s">
        <v>153</v>
      </c>
      <c r="E36" s="4" t="s">
        <v>39</v>
      </c>
      <c r="F36" s="4" t="s">
        <v>26</v>
      </c>
      <c r="G36" s="4" t="s">
        <v>26</v>
      </c>
      <c r="H36" s="4">
        <v>50.0</v>
      </c>
      <c r="I36" s="4">
        <v>0.0</v>
      </c>
      <c r="J36" s="4" t="s">
        <v>90</v>
      </c>
      <c r="K36" s="6">
        <f t="shared" si="1"/>
        <v>23.80952381</v>
      </c>
      <c r="L36" s="4" t="s">
        <v>26</v>
      </c>
      <c r="M36" s="4" t="s">
        <v>26</v>
      </c>
      <c r="N36" s="4">
        <v>6.0</v>
      </c>
      <c r="O36" s="4" t="s">
        <v>26</v>
      </c>
      <c r="P36" s="4" t="s">
        <v>26</v>
      </c>
      <c r="Q36" s="4" t="s">
        <v>26</v>
      </c>
      <c r="R36" s="4" t="s">
        <v>26</v>
      </c>
      <c r="S36" s="4" t="s">
        <v>26</v>
      </c>
      <c r="T36" s="4">
        <v>800.0</v>
      </c>
      <c r="U36" s="4">
        <v>2.1</v>
      </c>
      <c r="V36" s="4" t="s">
        <v>26</v>
      </c>
      <c r="W36" s="6"/>
      <c r="X36" s="6" t="str">
        <f>IFERROR(__xludf.DUMMYFUNCTION("""COMPUTED_VALUE"""),"")</f>
        <v/>
      </c>
      <c r="Y36" s="4" t="s">
        <v>41</v>
      </c>
      <c r="Z36" s="6"/>
      <c r="AA36" s="6"/>
    </row>
    <row r="37">
      <c r="A37" s="7" t="s">
        <v>154</v>
      </c>
      <c r="B37" s="7" t="s">
        <v>26</v>
      </c>
      <c r="C37" s="7" t="s">
        <v>154</v>
      </c>
      <c r="D37" s="8" t="s">
        <v>155</v>
      </c>
      <c r="E37" s="7" t="s">
        <v>39</v>
      </c>
      <c r="F37" s="7" t="s">
        <v>26</v>
      </c>
      <c r="G37" s="7" t="s">
        <v>26</v>
      </c>
      <c r="H37" s="7">
        <v>40.0</v>
      </c>
      <c r="I37" s="7">
        <v>0.0</v>
      </c>
      <c r="J37" s="7" t="s">
        <v>90</v>
      </c>
      <c r="K37" s="9">
        <f t="shared" si="1"/>
        <v>20</v>
      </c>
      <c r="L37" s="7" t="s">
        <v>26</v>
      </c>
      <c r="M37" s="7" t="s">
        <v>26</v>
      </c>
      <c r="N37" s="7">
        <v>6.0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  <c r="T37" s="7">
        <v>460.0</v>
      </c>
      <c r="U37" s="7">
        <v>2.0</v>
      </c>
      <c r="V37" s="7" t="s">
        <v>26</v>
      </c>
      <c r="W37" s="9"/>
      <c r="X37" s="9" t="str">
        <f>IFERROR(__xludf.DUMMYFUNCTION("""COMPUTED_VALUE"""),"")</f>
        <v/>
      </c>
      <c r="Y37" s="7" t="s">
        <v>156</v>
      </c>
      <c r="Z37" s="9"/>
      <c r="AA37" s="9"/>
    </row>
    <row r="38">
      <c r="A38" s="4" t="s">
        <v>157</v>
      </c>
      <c r="B38" s="4" t="s">
        <v>26</v>
      </c>
      <c r="C38" s="4" t="s">
        <v>158</v>
      </c>
      <c r="D38" s="5" t="s">
        <v>159</v>
      </c>
      <c r="E38" s="4" t="s">
        <v>29</v>
      </c>
      <c r="F38" s="4" t="s">
        <v>26</v>
      </c>
      <c r="G38" s="4" t="s">
        <v>101</v>
      </c>
      <c r="H38" s="4">
        <v>130.0</v>
      </c>
      <c r="I38" s="4">
        <v>50.0</v>
      </c>
      <c r="J38" s="4" t="s">
        <v>46</v>
      </c>
      <c r="K38" s="6">
        <f t="shared" si="1"/>
        <v>57.77777778</v>
      </c>
      <c r="L38" s="4">
        <v>1.5</v>
      </c>
      <c r="M38" s="4" t="s">
        <v>26</v>
      </c>
      <c r="N38" s="4">
        <v>15.0</v>
      </c>
      <c r="O38" s="4" t="s">
        <v>26</v>
      </c>
      <c r="P38" s="4" t="s">
        <v>26</v>
      </c>
      <c r="Q38" s="4" t="s">
        <v>101</v>
      </c>
      <c r="R38" s="4">
        <v>80.0</v>
      </c>
      <c r="S38" s="4" t="s">
        <v>101</v>
      </c>
      <c r="T38" s="4">
        <v>1600.0</v>
      </c>
      <c r="U38" s="4">
        <v>2.25</v>
      </c>
      <c r="V38" s="4" t="s">
        <v>26</v>
      </c>
      <c r="W38" s="6"/>
      <c r="X38" s="6" t="str">
        <f>IFERROR(__xludf.DUMMYFUNCTION("""COMPUTED_VALUE"""),"F")</f>
        <v>F</v>
      </c>
      <c r="Y38" s="4" t="s">
        <v>41</v>
      </c>
      <c r="Z38" s="6"/>
      <c r="AA38" s="6"/>
    </row>
    <row r="39">
      <c r="A39" s="7" t="s">
        <v>160</v>
      </c>
      <c r="B39" s="7" t="s">
        <v>26</v>
      </c>
      <c r="C39" s="7" t="s">
        <v>160</v>
      </c>
      <c r="D39" s="8" t="s">
        <v>161</v>
      </c>
      <c r="E39" s="7" t="s">
        <v>29</v>
      </c>
      <c r="F39" s="7" t="s">
        <v>26</v>
      </c>
      <c r="G39" s="7" t="s">
        <v>26</v>
      </c>
      <c r="H39" s="7">
        <v>18.0</v>
      </c>
      <c r="I39" s="7">
        <v>15.0</v>
      </c>
      <c r="J39" s="7" t="s">
        <v>30</v>
      </c>
      <c r="K39" s="9">
        <f t="shared" si="1"/>
        <v>15</v>
      </c>
      <c r="L39" s="7" t="s">
        <v>26</v>
      </c>
      <c r="M39" s="7" t="s">
        <v>26</v>
      </c>
      <c r="N39" s="7">
        <v>12.0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  <c r="T39" s="7">
        <v>150.0</v>
      </c>
      <c r="U39" s="7">
        <v>1.2</v>
      </c>
      <c r="V39" s="7" t="s">
        <v>26</v>
      </c>
      <c r="W39" s="9"/>
      <c r="X39" s="9" t="str">
        <f>IFERROR(__xludf.DUMMYFUNCTION("""COMPUTED_VALUE"""),"")</f>
        <v/>
      </c>
      <c r="Y39" s="7" t="s">
        <v>83</v>
      </c>
      <c r="Z39" s="9"/>
      <c r="AA39" s="9"/>
    </row>
    <row r="40">
      <c r="A40" s="4" t="s">
        <v>162</v>
      </c>
      <c r="B40" s="4" t="s">
        <v>26</v>
      </c>
      <c r="C40" s="4" t="s">
        <v>163</v>
      </c>
      <c r="D40" s="5" t="s">
        <v>164</v>
      </c>
      <c r="E40" s="4" t="s">
        <v>63</v>
      </c>
      <c r="F40" s="4" t="s">
        <v>26</v>
      </c>
      <c r="G40" s="4" t="s">
        <v>165</v>
      </c>
      <c r="H40" s="4">
        <v>10.0</v>
      </c>
      <c r="I40" s="4">
        <v>0.0</v>
      </c>
      <c r="J40" s="4" t="s">
        <v>46</v>
      </c>
      <c r="K40" s="6">
        <f t="shared" si="1"/>
        <v>5</v>
      </c>
      <c r="L40" s="4" t="s">
        <v>26</v>
      </c>
      <c r="M40" s="4" t="s">
        <v>26</v>
      </c>
      <c r="N40" s="4">
        <v>30.0</v>
      </c>
      <c r="O40" s="4" t="s">
        <v>26</v>
      </c>
      <c r="P40" s="4" t="s">
        <v>26</v>
      </c>
      <c r="Q40" s="4" t="s">
        <v>165</v>
      </c>
      <c r="R40" s="4" t="s">
        <v>26</v>
      </c>
      <c r="S40" s="4" t="s">
        <v>165</v>
      </c>
      <c r="T40" s="4">
        <v>100.0</v>
      </c>
      <c r="U40" s="4">
        <v>2.0</v>
      </c>
      <c r="V40" s="4" t="s">
        <v>26</v>
      </c>
      <c r="W40" s="6"/>
      <c r="X40" s="6" t="str">
        <f>IFERROR(__xludf.DUMMYFUNCTION("""COMPUTED_VALUE"""),"")</f>
        <v/>
      </c>
      <c r="Y40" s="4" t="s">
        <v>70</v>
      </c>
      <c r="Z40" s="6"/>
      <c r="AA40" s="6"/>
    </row>
    <row r="41">
      <c r="A41" s="7" t="s">
        <v>166</v>
      </c>
      <c r="B41" s="7" t="s">
        <v>26</v>
      </c>
      <c r="C41" s="7" t="s">
        <v>166</v>
      </c>
      <c r="D41" s="8" t="s">
        <v>167</v>
      </c>
      <c r="E41" s="7" t="s">
        <v>80</v>
      </c>
      <c r="F41" s="7" t="s">
        <v>26</v>
      </c>
      <c r="G41" s="7" t="s">
        <v>81</v>
      </c>
      <c r="H41" s="7">
        <v>40.0</v>
      </c>
      <c r="I41" s="7">
        <v>0.0</v>
      </c>
      <c r="J41" s="7" t="s">
        <v>34</v>
      </c>
      <c r="K41" s="9">
        <f t="shared" si="1"/>
        <v>26.66666667</v>
      </c>
      <c r="L41" s="7" t="s">
        <v>26</v>
      </c>
      <c r="M41" s="7" t="s">
        <v>26</v>
      </c>
      <c r="N41" s="7">
        <v>50.0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  <c r="T41" s="7">
        <v>140.0</v>
      </c>
      <c r="U41" s="7">
        <v>1.5</v>
      </c>
      <c r="V41" s="7" t="s">
        <v>26</v>
      </c>
      <c r="W41" s="9"/>
      <c r="X41" s="9" t="str">
        <f>IFERROR(__xludf.DUMMYFUNCTION("""COMPUTED_VALUE"""),"C")</f>
        <v>C</v>
      </c>
      <c r="Y41" s="7" t="s">
        <v>41</v>
      </c>
      <c r="Z41" s="9"/>
      <c r="AA41" s="9"/>
    </row>
    <row r="42">
      <c r="A42" s="4" t="s">
        <v>74</v>
      </c>
      <c r="B42" s="4">
        <v>0.2</v>
      </c>
      <c r="C42" s="4" t="s">
        <v>74</v>
      </c>
      <c r="D42" s="5" t="s">
        <v>168</v>
      </c>
      <c r="E42" s="4" t="s">
        <v>74</v>
      </c>
      <c r="F42" s="4" t="s">
        <v>26</v>
      </c>
      <c r="G42" s="4" t="s">
        <v>75</v>
      </c>
      <c r="H42" s="4">
        <v>18.0</v>
      </c>
      <c r="I42" s="4">
        <v>0.0</v>
      </c>
      <c r="J42" s="4" t="s">
        <v>90</v>
      </c>
      <c r="K42" s="6">
        <f t="shared" si="1"/>
        <v>30</v>
      </c>
      <c r="L42" s="4" t="s">
        <v>26</v>
      </c>
      <c r="M42" s="4">
        <v>0.2</v>
      </c>
      <c r="N42" s="4">
        <v>6.0</v>
      </c>
      <c r="O42" s="4">
        <v>20.0</v>
      </c>
      <c r="P42" s="4" t="s">
        <v>26</v>
      </c>
      <c r="Q42" s="4" t="s">
        <v>7</v>
      </c>
      <c r="R42" s="4" t="s">
        <v>26</v>
      </c>
      <c r="S42" s="4" t="s">
        <v>75</v>
      </c>
      <c r="T42" s="4">
        <v>90.0</v>
      </c>
      <c r="U42" s="4">
        <v>0.6</v>
      </c>
      <c r="V42" s="4">
        <v>2.0</v>
      </c>
      <c r="W42" s="6"/>
      <c r="X42" s="6" t="str">
        <f>IFERROR(__xludf.DUMMYFUNCTION("""COMPUTED_VALUE"""),"")</f>
        <v/>
      </c>
      <c r="Y42" s="4" t="s">
        <v>136</v>
      </c>
      <c r="Z42" s="6"/>
      <c r="AA42" s="6"/>
    </row>
    <row r="43">
      <c r="A43" s="7" t="s">
        <v>169</v>
      </c>
      <c r="B43" s="7" t="s">
        <v>26</v>
      </c>
      <c r="C43" s="7" t="s">
        <v>170</v>
      </c>
      <c r="D43" s="8" t="s">
        <v>171</v>
      </c>
      <c r="E43" s="7" t="s">
        <v>45</v>
      </c>
      <c r="F43" s="7" t="s">
        <v>26</v>
      </c>
      <c r="G43" s="7" t="s">
        <v>26</v>
      </c>
      <c r="H43" s="7">
        <v>10.0</v>
      </c>
      <c r="I43" s="7">
        <v>0.0</v>
      </c>
      <c r="J43" s="7" t="s">
        <v>58</v>
      </c>
      <c r="K43" s="9">
        <f t="shared" si="1"/>
        <v>8.333333333</v>
      </c>
      <c r="L43" s="7" t="s">
        <v>26</v>
      </c>
      <c r="M43" s="7" t="s">
        <v>26</v>
      </c>
      <c r="N43" s="7">
        <v>30.0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  <c r="T43" s="7">
        <v>75.0</v>
      </c>
      <c r="U43" s="7">
        <v>1.2</v>
      </c>
      <c r="V43" s="7" t="s">
        <v>26</v>
      </c>
      <c r="W43" s="9"/>
      <c r="X43" s="9" t="str">
        <f>IFERROR(__xludf.DUMMYFUNCTION("""COMPUTED_VALUE"""),"")</f>
        <v/>
      </c>
      <c r="Y43" s="7" t="s">
        <v>31</v>
      </c>
      <c r="Z43" s="9"/>
      <c r="AA43" s="9"/>
    </row>
    <row r="44">
      <c r="A44" s="4" t="s">
        <v>172</v>
      </c>
      <c r="B44" s="4" t="s">
        <v>26</v>
      </c>
      <c r="C44" s="4" t="s">
        <v>172</v>
      </c>
      <c r="D44" s="5" t="s">
        <v>173</v>
      </c>
      <c r="E44" s="4" t="s">
        <v>29</v>
      </c>
      <c r="F44" s="4" t="s">
        <v>26</v>
      </c>
      <c r="G44" s="4" t="s">
        <v>165</v>
      </c>
      <c r="H44" s="4">
        <v>20.0</v>
      </c>
      <c r="I44" s="4">
        <v>0.0</v>
      </c>
      <c r="J44" s="4" t="s">
        <v>46</v>
      </c>
      <c r="K44" s="6">
        <f t="shared" si="1"/>
        <v>18.18181818</v>
      </c>
      <c r="L44" s="4" t="s">
        <v>26</v>
      </c>
      <c r="M44" s="4">
        <v>0.1</v>
      </c>
      <c r="N44" s="4">
        <v>8.0</v>
      </c>
      <c r="O44" s="4" t="s">
        <v>26</v>
      </c>
      <c r="P44" s="4" t="s">
        <v>26</v>
      </c>
      <c r="Q44" s="4" t="s">
        <v>165</v>
      </c>
      <c r="R44" s="4" t="s">
        <v>26</v>
      </c>
      <c r="S44" s="4" t="s">
        <v>165</v>
      </c>
      <c r="T44" s="4">
        <v>250.0</v>
      </c>
      <c r="U44" s="4">
        <v>1.1</v>
      </c>
      <c r="V44" s="4" t="s">
        <v>26</v>
      </c>
      <c r="W44" s="6"/>
      <c r="X44" s="6" t="str">
        <f>IFERROR(__xludf.DUMMYFUNCTION("""COMPUTED_VALUE"""),"")</f>
        <v/>
      </c>
      <c r="Y44" s="4" t="s">
        <v>174</v>
      </c>
      <c r="Z44" s="6"/>
      <c r="AA44" s="6"/>
    </row>
    <row r="45">
      <c r="A45" s="7" t="s">
        <v>175</v>
      </c>
      <c r="B45" s="7" t="s">
        <v>26</v>
      </c>
      <c r="C45" s="7" t="s">
        <v>175</v>
      </c>
      <c r="D45" s="8" t="s">
        <v>176</v>
      </c>
      <c r="E45" s="7" t="s">
        <v>45</v>
      </c>
      <c r="F45" s="7" t="s">
        <v>26</v>
      </c>
      <c r="G45" s="7" t="s">
        <v>26</v>
      </c>
      <c r="H45" s="7">
        <v>60.0</v>
      </c>
      <c r="I45" s="7">
        <v>0.0</v>
      </c>
      <c r="J45" s="7" t="s">
        <v>34</v>
      </c>
      <c r="K45" s="9">
        <f t="shared" si="1"/>
        <v>26.66666667</v>
      </c>
      <c r="L45" s="7" t="s">
        <v>26</v>
      </c>
      <c r="M45" s="7" t="s">
        <v>26</v>
      </c>
      <c r="N45" s="7">
        <v>45.0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  <c r="T45" s="7">
        <v>90.0</v>
      </c>
      <c r="U45" s="7">
        <v>2.25</v>
      </c>
      <c r="V45" s="7" t="s">
        <v>26</v>
      </c>
      <c r="W45" s="9"/>
      <c r="X45" s="9" t="str">
        <f>IFERROR(__xludf.DUMMYFUNCTION("""COMPUTED_VALUE"""),"C")</f>
        <v>C</v>
      </c>
      <c r="Y45" s="7" t="s">
        <v>35</v>
      </c>
      <c r="Z45" s="9"/>
      <c r="AA45" s="9"/>
    </row>
    <row r="46">
      <c r="A46" s="4" t="s">
        <v>177</v>
      </c>
      <c r="B46" s="4" t="s">
        <v>26</v>
      </c>
      <c r="C46" s="4" t="s">
        <v>177</v>
      </c>
      <c r="D46" s="5" t="s">
        <v>178</v>
      </c>
      <c r="E46" s="4" t="s">
        <v>29</v>
      </c>
      <c r="F46" s="4" t="s">
        <v>26</v>
      </c>
      <c r="G46" s="4" t="s">
        <v>26</v>
      </c>
      <c r="H46" s="4">
        <v>35.0</v>
      </c>
      <c r="I46" s="4">
        <v>0.0</v>
      </c>
      <c r="J46" s="4" t="s">
        <v>90</v>
      </c>
      <c r="K46" s="6">
        <f t="shared" si="1"/>
        <v>38.88888889</v>
      </c>
      <c r="L46" s="4" t="s">
        <v>26</v>
      </c>
      <c r="M46" s="4" t="s">
        <v>26</v>
      </c>
      <c r="N46" s="4">
        <v>6.0</v>
      </c>
      <c r="O46" s="4" t="s">
        <v>26</v>
      </c>
      <c r="P46" s="4" t="s">
        <v>26</v>
      </c>
      <c r="Q46" s="4" t="s">
        <v>26</v>
      </c>
      <c r="R46" s="4" t="s">
        <v>26</v>
      </c>
      <c r="S46" s="4" t="s">
        <v>26</v>
      </c>
      <c r="T46" s="4">
        <v>210.0</v>
      </c>
      <c r="U46" s="4">
        <v>0.9</v>
      </c>
      <c r="V46" s="4" t="s">
        <v>26</v>
      </c>
      <c r="W46" s="6"/>
      <c r="X46" s="6" t="str">
        <f>IFERROR(__xludf.DUMMYFUNCTION("""COMPUTED_VALUE"""),"C")</f>
        <v>C</v>
      </c>
      <c r="Y46" s="4" t="s">
        <v>41</v>
      </c>
      <c r="Z46" s="6"/>
      <c r="AA46" s="6"/>
    </row>
    <row r="47">
      <c r="A47" s="7" t="s">
        <v>179</v>
      </c>
      <c r="B47" s="7" t="s">
        <v>26</v>
      </c>
      <c r="C47" s="7" t="s">
        <v>179</v>
      </c>
      <c r="D47" s="8" t="s">
        <v>180</v>
      </c>
      <c r="E47" s="7" t="s">
        <v>39</v>
      </c>
      <c r="F47" s="7" t="s">
        <v>26</v>
      </c>
      <c r="G47" s="7" t="s">
        <v>26</v>
      </c>
      <c r="H47" s="7">
        <v>12.5</v>
      </c>
      <c r="I47" s="7">
        <v>0.0</v>
      </c>
      <c r="J47" s="7" t="s">
        <v>30</v>
      </c>
      <c r="K47" s="9">
        <f t="shared" si="1"/>
        <v>8.333333333</v>
      </c>
      <c r="L47" s="7" t="s">
        <v>26</v>
      </c>
      <c r="M47" s="7" t="s">
        <v>26</v>
      </c>
      <c r="N47" s="7">
        <v>6.0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  <c r="T47" s="7">
        <v>300.0</v>
      </c>
      <c r="U47" s="7">
        <v>1.5</v>
      </c>
      <c r="V47" s="7" t="s">
        <v>26</v>
      </c>
      <c r="W47" s="9"/>
      <c r="X47" s="9" t="str">
        <f>IFERROR(__xludf.DUMMYFUNCTION("""COMPUTED_VALUE"""),"")</f>
        <v/>
      </c>
      <c r="Y47" s="7" t="s">
        <v>83</v>
      </c>
      <c r="Z47" s="9"/>
      <c r="AA47" s="9"/>
    </row>
    <row r="48">
      <c r="A48" s="4" t="s">
        <v>181</v>
      </c>
      <c r="B48" s="4" t="s">
        <v>26</v>
      </c>
      <c r="C48" s="4" t="s">
        <v>181</v>
      </c>
      <c r="D48" s="5" t="s">
        <v>182</v>
      </c>
      <c r="E48" s="4" t="s">
        <v>29</v>
      </c>
      <c r="F48" s="4" t="s">
        <v>26</v>
      </c>
      <c r="G48" s="4" t="s">
        <v>26</v>
      </c>
      <c r="H48" s="4">
        <v>20.0</v>
      </c>
      <c r="I48" s="4">
        <v>0.0</v>
      </c>
      <c r="J48" s="4" t="s">
        <v>90</v>
      </c>
      <c r="K48" s="6">
        <f t="shared" si="1"/>
        <v>20</v>
      </c>
      <c r="L48" s="4" t="s">
        <v>26</v>
      </c>
      <c r="M48" s="4" t="s">
        <v>26</v>
      </c>
      <c r="N48" s="4">
        <v>6.0</v>
      </c>
      <c r="O48" s="4" t="s">
        <v>26</v>
      </c>
      <c r="P48" s="4" t="s">
        <v>26</v>
      </c>
      <c r="Q48" s="4" t="s">
        <v>26</v>
      </c>
      <c r="R48" s="4" t="s">
        <v>26</v>
      </c>
      <c r="S48" s="4" t="s">
        <v>26</v>
      </c>
      <c r="T48" s="4">
        <v>180.0</v>
      </c>
      <c r="U48" s="4">
        <v>1.0</v>
      </c>
      <c r="V48" s="4" t="s">
        <v>26</v>
      </c>
      <c r="W48" s="6"/>
      <c r="X48" s="6" t="str">
        <f>IFERROR(__xludf.DUMMYFUNCTION("""COMPUTED_VALUE"""),"")</f>
        <v/>
      </c>
      <c r="Y48" s="4" t="s">
        <v>183</v>
      </c>
      <c r="Z48" s="6"/>
      <c r="AA48" s="6"/>
    </row>
    <row r="49">
      <c r="A49" s="7" t="s">
        <v>184</v>
      </c>
      <c r="B49" s="7" t="s">
        <v>26</v>
      </c>
      <c r="C49" s="7" t="s">
        <v>185</v>
      </c>
      <c r="D49" s="8" t="s">
        <v>186</v>
      </c>
      <c r="E49" s="7" t="s">
        <v>29</v>
      </c>
      <c r="F49" s="7" t="s">
        <v>26</v>
      </c>
      <c r="G49" s="7" t="s">
        <v>26</v>
      </c>
      <c r="H49" s="7">
        <v>15.0</v>
      </c>
      <c r="I49" s="7">
        <v>0.0</v>
      </c>
      <c r="J49" s="7" t="s">
        <v>90</v>
      </c>
      <c r="K49" s="9">
        <f t="shared" si="1"/>
        <v>21.42857143</v>
      </c>
      <c r="L49" s="7" t="s">
        <v>26</v>
      </c>
      <c r="M49" s="7" t="s">
        <v>26</v>
      </c>
      <c r="N49" s="7">
        <v>5.0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  <c r="T49" s="7">
        <v>300.0</v>
      </c>
      <c r="U49" s="7">
        <v>0.7</v>
      </c>
      <c r="V49" s="7" t="s">
        <v>26</v>
      </c>
      <c r="W49" s="9"/>
      <c r="X49" s="9" t="str">
        <f>IFERROR(__xludf.DUMMYFUNCTION("""COMPUTED_VALUE"""),"")</f>
        <v/>
      </c>
      <c r="Y49" s="7" t="s">
        <v>59</v>
      </c>
      <c r="Z49" s="9"/>
      <c r="AA49" s="9"/>
    </row>
    <row r="50">
      <c r="A50" s="4" t="s">
        <v>187</v>
      </c>
      <c r="B50" s="4" t="s">
        <v>26</v>
      </c>
      <c r="C50" s="4" t="s">
        <v>187</v>
      </c>
      <c r="D50" s="5" t="s">
        <v>188</v>
      </c>
      <c r="E50" s="4" t="s">
        <v>29</v>
      </c>
      <c r="F50" s="4" t="s">
        <v>26</v>
      </c>
      <c r="G50" s="4" t="s">
        <v>26</v>
      </c>
      <c r="H50" s="4">
        <v>5.0</v>
      </c>
      <c r="I50" s="4">
        <v>0.0</v>
      </c>
      <c r="J50" s="4" t="s">
        <v>58</v>
      </c>
      <c r="K50" s="6">
        <f t="shared" si="1"/>
        <v>10</v>
      </c>
      <c r="L50" s="4" t="s">
        <v>26</v>
      </c>
      <c r="M50" s="4" t="s">
        <v>26</v>
      </c>
      <c r="N50" s="4">
        <v>6.0</v>
      </c>
      <c r="O50" s="4" t="s">
        <v>26</v>
      </c>
      <c r="P50" s="4" t="s">
        <v>26</v>
      </c>
      <c r="Q50" s="4" t="s">
        <v>26</v>
      </c>
      <c r="R50" s="4" t="s">
        <v>26</v>
      </c>
      <c r="S50" s="4" t="s">
        <v>26</v>
      </c>
      <c r="T50" s="4">
        <v>80.0</v>
      </c>
      <c r="U50" s="4">
        <v>0.5</v>
      </c>
      <c r="V50" s="4" t="s">
        <v>26</v>
      </c>
      <c r="W50" s="6"/>
      <c r="X50" s="6" t="str">
        <f>IFERROR(__xludf.DUMMYFUNCTION("""COMPUTED_VALUE"""),"")</f>
        <v/>
      </c>
      <c r="Y50" s="4" t="s">
        <v>189</v>
      </c>
      <c r="Z50" s="6"/>
      <c r="AA50" s="6"/>
    </row>
    <row r="51">
      <c r="A51" s="7" t="s">
        <v>190</v>
      </c>
      <c r="B51" s="7" t="s">
        <v>26</v>
      </c>
      <c r="C51" s="7" t="s">
        <v>190</v>
      </c>
      <c r="D51" s="8" t="s">
        <v>191</v>
      </c>
      <c r="E51" s="7" t="s">
        <v>63</v>
      </c>
      <c r="F51" s="7" t="s">
        <v>26</v>
      </c>
      <c r="G51" s="7" t="s">
        <v>64</v>
      </c>
      <c r="H51" s="7">
        <v>25.0</v>
      </c>
      <c r="I51" s="7">
        <v>0.0</v>
      </c>
      <c r="J51" s="7" t="s">
        <v>46</v>
      </c>
      <c r="K51" s="9">
        <f t="shared" si="1"/>
        <v>14.28571429</v>
      </c>
      <c r="L51" s="7" t="s">
        <v>26</v>
      </c>
      <c r="M51" s="7" t="s">
        <v>26</v>
      </c>
      <c r="N51" s="7">
        <v>30.0</v>
      </c>
      <c r="O51" s="7" t="s">
        <v>26</v>
      </c>
      <c r="P51" s="7" t="s">
        <v>26</v>
      </c>
      <c r="Q51" s="7" t="s">
        <v>65</v>
      </c>
      <c r="R51" s="7" t="s">
        <v>26</v>
      </c>
      <c r="S51" s="7" t="s">
        <v>65</v>
      </c>
      <c r="T51" s="7">
        <v>200.0</v>
      </c>
      <c r="U51" s="7">
        <v>1.75</v>
      </c>
      <c r="V51" s="7" t="s">
        <v>26</v>
      </c>
      <c r="W51" s="9"/>
      <c r="X51" s="9" t="str">
        <f>IFERROR(__xludf.DUMMYFUNCTION("""COMPUTED_VALUE"""),"")</f>
        <v/>
      </c>
      <c r="Y51" s="7" t="s">
        <v>149</v>
      </c>
      <c r="Z51" s="9"/>
      <c r="AA51" s="9"/>
    </row>
    <row r="52">
      <c r="A52" s="4" t="s">
        <v>192</v>
      </c>
      <c r="B52" s="4">
        <v>0.15</v>
      </c>
      <c r="C52" s="4" t="s">
        <v>193</v>
      </c>
      <c r="D52" s="5" t="s">
        <v>194</v>
      </c>
      <c r="E52" s="4" t="s">
        <v>74</v>
      </c>
      <c r="F52" s="4" t="s">
        <v>26</v>
      </c>
      <c r="G52" s="4" t="s">
        <v>75</v>
      </c>
      <c r="H52" s="4">
        <v>20.0</v>
      </c>
      <c r="I52" s="4">
        <v>0.0</v>
      </c>
      <c r="J52" s="4" t="s">
        <v>30</v>
      </c>
      <c r="K52" s="6">
        <f t="shared" si="1"/>
        <v>26.66666667</v>
      </c>
      <c r="L52" s="4" t="s">
        <v>26</v>
      </c>
      <c r="M52" s="4">
        <v>0.1</v>
      </c>
      <c r="N52" s="4">
        <v>5.0</v>
      </c>
      <c r="O52" s="4">
        <v>12.0</v>
      </c>
      <c r="P52" s="4" t="s">
        <v>26</v>
      </c>
      <c r="Q52" s="4" t="s">
        <v>7</v>
      </c>
      <c r="R52" s="4" t="s">
        <v>26</v>
      </c>
      <c r="S52" s="4" t="s">
        <v>75</v>
      </c>
      <c r="T52" s="4">
        <v>110.0</v>
      </c>
      <c r="U52" s="4">
        <v>0.75</v>
      </c>
      <c r="V52" s="4">
        <v>2.0</v>
      </c>
      <c r="W52" s="6"/>
      <c r="X52" s="6" t="str">
        <f>IFERROR(__xludf.DUMMYFUNCTION("""COMPUTED_VALUE"""),"")</f>
        <v/>
      </c>
      <c r="Y52" s="4" t="s">
        <v>31</v>
      </c>
      <c r="Z52" s="6"/>
      <c r="AA52" s="6"/>
    </row>
    <row r="53">
      <c r="A53" s="7" t="s">
        <v>195</v>
      </c>
      <c r="B53" s="7" t="s">
        <v>26</v>
      </c>
      <c r="C53" s="7" t="s">
        <v>196</v>
      </c>
      <c r="D53" s="8" t="s">
        <v>197</v>
      </c>
      <c r="E53" s="7" t="s">
        <v>39</v>
      </c>
      <c r="F53" s="7" t="s">
        <v>26</v>
      </c>
      <c r="G53" s="7" t="s">
        <v>26</v>
      </c>
      <c r="H53" s="7">
        <v>15.0</v>
      </c>
      <c r="I53" s="7">
        <v>0.0</v>
      </c>
      <c r="J53" s="7" t="s">
        <v>30</v>
      </c>
      <c r="K53" s="9">
        <f t="shared" si="1"/>
        <v>8.333333333</v>
      </c>
      <c r="L53" s="7" t="s">
        <v>26</v>
      </c>
      <c r="M53" s="7" t="s">
        <v>26</v>
      </c>
      <c r="N53" s="7">
        <v>5.0</v>
      </c>
      <c r="O53" s="7" t="s">
        <v>26</v>
      </c>
      <c r="P53" s="7" t="s">
        <v>26</v>
      </c>
      <c r="Q53" s="7" t="s">
        <v>26</v>
      </c>
      <c r="R53" s="7" t="s">
        <v>26</v>
      </c>
      <c r="S53" s="7" t="s">
        <v>26</v>
      </c>
      <c r="T53" s="7">
        <v>180.0</v>
      </c>
      <c r="U53" s="7">
        <v>1.8</v>
      </c>
      <c r="V53" s="7" t="s">
        <v>26</v>
      </c>
      <c r="W53" s="9"/>
      <c r="X53" s="9" t="str">
        <f>IFERROR(__xludf.DUMMYFUNCTION("""COMPUTED_VALUE"""),"")</f>
        <v/>
      </c>
      <c r="Y53" s="7" t="s">
        <v>136</v>
      </c>
      <c r="Z53" s="9"/>
      <c r="AA53" s="9"/>
    </row>
    <row r="54">
      <c r="A54" s="4" t="s">
        <v>198</v>
      </c>
      <c r="B54" s="4" t="s">
        <v>26</v>
      </c>
      <c r="C54" s="4" t="s">
        <v>199</v>
      </c>
      <c r="D54" s="5" t="s">
        <v>200</v>
      </c>
      <c r="E54" s="4" t="s">
        <v>29</v>
      </c>
      <c r="F54" s="4" t="s">
        <v>26</v>
      </c>
      <c r="G54" s="4" t="s">
        <v>26</v>
      </c>
      <c r="H54" s="4">
        <v>26.0</v>
      </c>
      <c r="I54" s="4">
        <v>0.0</v>
      </c>
      <c r="J54" s="4" t="s">
        <v>90</v>
      </c>
      <c r="K54" s="6">
        <f t="shared" si="1"/>
        <v>8.666666667</v>
      </c>
      <c r="L54" s="4" t="s">
        <v>26</v>
      </c>
      <c r="M54" s="4" t="s">
        <v>26</v>
      </c>
      <c r="N54" s="4">
        <v>12.0</v>
      </c>
      <c r="O54" s="4" t="s">
        <v>26</v>
      </c>
      <c r="P54" s="4" t="s">
        <v>26</v>
      </c>
      <c r="Q54" s="4" t="s">
        <v>26</v>
      </c>
      <c r="R54" s="4" t="s">
        <v>26</v>
      </c>
      <c r="S54" s="4" t="s">
        <v>26</v>
      </c>
      <c r="T54" s="4">
        <v>190.0</v>
      </c>
      <c r="U54" s="4">
        <v>3.0</v>
      </c>
      <c r="V54" s="4" t="s">
        <v>26</v>
      </c>
      <c r="W54" s="6"/>
      <c r="X54" s="6" t="str">
        <f>IFERROR(__xludf.DUMMYFUNCTION("""COMPUTED_VALUE"""),"")</f>
        <v/>
      </c>
      <c r="Y54" s="4" t="s">
        <v>41</v>
      </c>
      <c r="Z54" s="6"/>
      <c r="AA54" s="6"/>
    </row>
    <row r="55">
      <c r="A55" s="7" t="s">
        <v>201</v>
      </c>
      <c r="B55" s="7" t="s">
        <v>26</v>
      </c>
      <c r="C55" s="7" t="s">
        <v>202</v>
      </c>
      <c r="D55" s="8" t="s">
        <v>203</v>
      </c>
      <c r="E55" s="7" t="s">
        <v>29</v>
      </c>
      <c r="F55" s="7" t="s">
        <v>26</v>
      </c>
      <c r="G55" s="7" t="s">
        <v>96</v>
      </c>
      <c r="H55" s="7">
        <v>70.0</v>
      </c>
      <c r="I55" s="7">
        <v>50.0</v>
      </c>
      <c r="J55" s="7" t="s">
        <v>46</v>
      </c>
      <c r="K55" s="9">
        <f t="shared" si="1"/>
        <v>23.33333333</v>
      </c>
      <c r="L55" s="7" t="s">
        <v>26</v>
      </c>
      <c r="M55" s="7" t="s">
        <v>26</v>
      </c>
      <c r="N55" s="7">
        <v>15.0</v>
      </c>
      <c r="O55" s="7" t="s">
        <v>26</v>
      </c>
      <c r="P55" s="7" t="s">
        <v>26</v>
      </c>
      <c r="Q55" s="7" t="s">
        <v>7</v>
      </c>
      <c r="R55" s="7" t="s">
        <v>26</v>
      </c>
      <c r="S55" s="7" t="s">
        <v>97</v>
      </c>
      <c r="T55" s="7">
        <v>800.0</v>
      </c>
      <c r="U55" s="7">
        <v>3.0</v>
      </c>
      <c r="V55" s="7" t="s">
        <v>26</v>
      </c>
      <c r="W55" s="9"/>
      <c r="X55" s="9" t="str">
        <f>IFERROR(__xludf.DUMMYFUNCTION("""COMPUTED_VALUE"""),"F")</f>
        <v>F</v>
      </c>
      <c r="Y55" s="7" t="s">
        <v>59</v>
      </c>
      <c r="Z55" s="9"/>
      <c r="AA55" s="9"/>
    </row>
    <row r="56">
      <c r="A56" s="4" t="s">
        <v>204</v>
      </c>
      <c r="B56" s="4" t="s">
        <v>26</v>
      </c>
      <c r="C56" s="4" t="s">
        <v>205</v>
      </c>
      <c r="D56" s="5" t="s">
        <v>206</v>
      </c>
      <c r="E56" s="4" t="s">
        <v>45</v>
      </c>
      <c r="F56" s="4" t="s">
        <v>26</v>
      </c>
      <c r="G56" s="4" t="s">
        <v>26</v>
      </c>
      <c r="H56" s="4">
        <v>10.0</v>
      </c>
      <c r="I56" s="4">
        <v>0.0</v>
      </c>
      <c r="J56" s="4" t="s">
        <v>58</v>
      </c>
      <c r="K56" s="6">
        <f t="shared" si="1"/>
        <v>7.142857143</v>
      </c>
      <c r="L56" s="4" t="s">
        <v>26</v>
      </c>
      <c r="M56" s="4" t="s">
        <v>26</v>
      </c>
      <c r="N56" s="4">
        <v>30.0</v>
      </c>
      <c r="O56" s="4" t="s">
        <v>26</v>
      </c>
      <c r="P56" s="4" t="s">
        <v>26</v>
      </c>
      <c r="Q56" s="4" t="s">
        <v>26</v>
      </c>
      <c r="R56" s="4" t="s">
        <v>26</v>
      </c>
      <c r="S56" s="4" t="s">
        <v>26</v>
      </c>
      <c r="T56" s="4">
        <v>80.0</v>
      </c>
      <c r="U56" s="4">
        <v>1.4</v>
      </c>
      <c r="V56" s="4" t="s">
        <v>26</v>
      </c>
      <c r="W56" s="6"/>
      <c r="X56" s="6" t="str">
        <f>IFERROR(__xludf.DUMMYFUNCTION("""COMPUTED_VALUE"""),"")</f>
        <v/>
      </c>
      <c r="Y56" s="4" t="s">
        <v>207</v>
      </c>
      <c r="Z56" s="6"/>
      <c r="AA56" s="6"/>
    </row>
    <row r="57">
      <c r="A57" s="7" t="s">
        <v>208</v>
      </c>
      <c r="B57" s="7" t="s">
        <v>26</v>
      </c>
      <c r="C57" s="7" t="s">
        <v>209</v>
      </c>
      <c r="D57" s="8" t="s">
        <v>210</v>
      </c>
      <c r="E57" s="7" t="s">
        <v>86</v>
      </c>
      <c r="F57" s="7" t="s">
        <v>26</v>
      </c>
      <c r="G57" s="7" t="s">
        <v>26</v>
      </c>
      <c r="H57" s="7">
        <v>0.0</v>
      </c>
      <c r="I57" s="7">
        <v>0.0</v>
      </c>
      <c r="J57" s="7" t="s">
        <v>30</v>
      </c>
      <c r="K57" s="9" t="str">
        <f t="shared" si="1"/>
        <v>N/A</v>
      </c>
      <c r="L57" s="7" t="s">
        <v>26</v>
      </c>
      <c r="M57" s="7" t="s">
        <v>26</v>
      </c>
      <c r="N57" s="7">
        <v>10.0</v>
      </c>
      <c r="O57" s="7" t="s">
        <v>26</v>
      </c>
      <c r="P57" s="7" t="s">
        <v>26</v>
      </c>
      <c r="Q57" s="7" t="s">
        <v>26</v>
      </c>
      <c r="R57" s="7" t="s">
        <v>26</v>
      </c>
      <c r="S57" s="7" t="s">
        <v>26</v>
      </c>
      <c r="T57" s="7">
        <v>90.0</v>
      </c>
      <c r="U57" s="7">
        <v>4.0</v>
      </c>
      <c r="V57" s="7" t="s">
        <v>26</v>
      </c>
      <c r="W57" s="9"/>
      <c r="X57" s="9" t="str">
        <f>IFERROR(__xludf.DUMMYFUNCTION("""COMPUTED_VALUE"""),"")</f>
        <v/>
      </c>
      <c r="Y57" s="7" t="s">
        <v>31</v>
      </c>
      <c r="Z57" s="9"/>
      <c r="AA57" s="9"/>
    </row>
    <row r="58">
      <c r="A58" s="4" t="s">
        <v>211</v>
      </c>
      <c r="B58" s="4" t="s">
        <v>26</v>
      </c>
      <c r="C58" s="4" t="s">
        <v>212</v>
      </c>
      <c r="D58" s="5" t="s">
        <v>213</v>
      </c>
      <c r="E58" s="4" t="s">
        <v>29</v>
      </c>
      <c r="F58" s="4" t="s">
        <v>26</v>
      </c>
      <c r="G58" s="4" t="s">
        <v>26</v>
      </c>
      <c r="H58" s="4">
        <v>5.0</v>
      </c>
      <c r="I58" s="4">
        <v>0.0</v>
      </c>
      <c r="J58" s="4" t="s">
        <v>214</v>
      </c>
      <c r="K58" s="6">
        <f t="shared" si="1"/>
        <v>5</v>
      </c>
      <c r="L58" s="4" t="s">
        <v>26</v>
      </c>
      <c r="M58" s="4" t="s">
        <v>26</v>
      </c>
      <c r="N58" s="4">
        <v>5.0</v>
      </c>
      <c r="O58" s="4" t="s">
        <v>26</v>
      </c>
      <c r="P58" s="4" t="s">
        <v>26</v>
      </c>
      <c r="Q58" s="4" t="s">
        <v>26</v>
      </c>
      <c r="R58" s="4" t="s">
        <v>26</v>
      </c>
      <c r="S58" s="4" t="s">
        <v>26</v>
      </c>
      <c r="T58" s="4">
        <v>40.0</v>
      </c>
      <c r="U58" s="4">
        <v>1.0</v>
      </c>
      <c r="V58" s="4" t="s">
        <v>26</v>
      </c>
      <c r="W58" s="6"/>
      <c r="X58" s="6" t="str">
        <f>IFERROR(__xludf.DUMMYFUNCTION("""COMPUTED_VALUE"""),"")</f>
        <v/>
      </c>
      <c r="Y58" s="4" t="s">
        <v>149</v>
      </c>
      <c r="Z58" s="6"/>
      <c r="AA58" s="6"/>
    </row>
    <row r="59">
      <c r="A59" s="7" t="s">
        <v>215</v>
      </c>
      <c r="B59" s="7" t="s">
        <v>26</v>
      </c>
      <c r="C59" s="7" t="s">
        <v>216</v>
      </c>
      <c r="D59" s="8" t="s">
        <v>217</v>
      </c>
      <c r="E59" s="7" t="s">
        <v>63</v>
      </c>
      <c r="F59" s="7" t="s">
        <v>26</v>
      </c>
      <c r="G59" s="7" t="s">
        <v>64</v>
      </c>
      <c r="H59" s="7">
        <v>12.0</v>
      </c>
      <c r="I59" s="7">
        <v>0.0</v>
      </c>
      <c r="J59" s="7" t="s">
        <v>30</v>
      </c>
      <c r="K59" s="9">
        <f t="shared" si="1"/>
        <v>12</v>
      </c>
      <c r="L59" s="7" t="s">
        <v>26</v>
      </c>
      <c r="M59" s="7" t="s">
        <v>26</v>
      </c>
      <c r="N59" s="7">
        <v>30.0</v>
      </c>
      <c r="O59" s="7" t="s">
        <v>26</v>
      </c>
      <c r="P59" s="7" t="s">
        <v>26</v>
      </c>
      <c r="Q59" s="7" t="s">
        <v>65</v>
      </c>
      <c r="R59" s="7" t="s">
        <v>26</v>
      </c>
      <c r="S59" s="7" t="s">
        <v>65</v>
      </c>
      <c r="T59" s="7">
        <v>120.0</v>
      </c>
      <c r="U59" s="7">
        <v>1.0</v>
      </c>
      <c r="V59" s="7" t="s">
        <v>26</v>
      </c>
      <c r="W59" s="9"/>
      <c r="X59" s="9" t="str">
        <f>IFERROR(__xludf.DUMMYFUNCTION("""COMPUTED_VALUE"""),"")</f>
        <v/>
      </c>
      <c r="Y59" s="7" t="s">
        <v>102</v>
      </c>
      <c r="Z59" s="9"/>
      <c r="AA59" s="9"/>
    </row>
    <row r="60">
      <c r="A60" s="4" t="s">
        <v>218</v>
      </c>
      <c r="B60" s="4" t="s">
        <v>26</v>
      </c>
      <c r="C60" s="4" t="s">
        <v>218</v>
      </c>
      <c r="D60" s="5" t="s">
        <v>219</v>
      </c>
      <c r="E60" s="4" t="s">
        <v>49</v>
      </c>
      <c r="F60" s="4" t="s">
        <v>26</v>
      </c>
      <c r="G60" s="4" t="s">
        <v>220</v>
      </c>
      <c r="H60" s="4">
        <v>30.0</v>
      </c>
      <c r="I60" s="4">
        <v>0.0</v>
      </c>
      <c r="J60" s="4" t="s">
        <v>40</v>
      </c>
      <c r="K60" s="6">
        <f t="shared" si="1"/>
        <v>21.42857143</v>
      </c>
      <c r="L60" s="4" t="s">
        <v>26</v>
      </c>
      <c r="M60" s="4" t="s">
        <v>26</v>
      </c>
      <c r="N60" s="4">
        <v>70.0</v>
      </c>
      <c r="O60" s="4" t="s">
        <v>26</v>
      </c>
      <c r="P60" s="4" t="s">
        <v>26</v>
      </c>
      <c r="Q60" s="4" t="s">
        <v>220</v>
      </c>
      <c r="R60" s="4" t="s">
        <v>26</v>
      </c>
      <c r="S60" s="4" t="s">
        <v>99</v>
      </c>
      <c r="T60" s="4">
        <v>200.0</v>
      </c>
      <c r="U60" s="4">
        <v>1.4</v>
      </c>
      <c r="V60" s="4" t="s">
        <v>26</v>
      </c>
      <c r="W60" s="6"/>
      <c r="X60" s="6" t="str">
        <f>IFERROR(__xludf.DUMMYFUNCTION("""COMPUTED_VALUE"""),"A")</f>
        <v>A</v>
      </c>
      <c r="Y60" s="4" t="s">
        <v>70</v>
      </c>
      <c r="Z60" s="6"/>
      <c r="AA60" s="6"/>
    </row>
    <row r="61">
      <c r="A61" s="7" t="s">
        <v>221</v>
      </c>
      <c r="B61" s="7" t="s">
        <v>26</v>
      </c>
      <c r="C61" s="7" t="s">
        <v>222</v>
      </c>
      <c r="D61" s="8" t="s">
        <v>223</v>
      </c>
      <c r="E61" s="7" t="s">
        <v>45</v>
      </c>
      <c r="F61" s="7" t="s">
        <v>26</v>
      </c>
      <c r="G61" s="7" t="s">
        <v>26</v>
      </c>
      <c r="H61" s="7">
        <v>40.0</v>
      </c>
      <c r="I61" s="7">
        <v>0.0</v>
      </c>
      <c r="J61" s="7" t="s">
        <v>46</v>
      </c>
      <c r="K61" s="9">
        <f t="shared" si="1"/>
        <v>33.33333333</v>
      </c>
      <c r="L61" s="7" t="s">
        <v>26</v>
      </c>
      <c r="M61" s="7" t="s">
        <v>26</v>
      </c>
      <c r="N61" s="7">
        <v>45.0</v>
      </c>
      <c r="O61" s="7" t="s">
        <v>26</v>
      </c>
      <c r="P61" s="7" t="s">
        <v>26</v>
      </c>
      <c r="Q61" s="7" t="s">
        <v>26</v>
      </c>
      <c r="R61" s="7" t="s">
        <v>26</v>
      </c>
      <c r="S61" s="7" t="s">
        <v>26</v>
      </c>
      <c r="T61" s="7">
        <v>70.0</v>
      </c>
      <c r="U61" s="7">
        <v>1.2</v>
      </c>
      <c r="V61" s="7" t="s">
        <v>26</v>
      </c>
      <c r="W61" s="9"/>
      <c r="X61" s="9" t="str">
        <f>IFERROR(__xludf.DUMMYFUNCTION("""COMPUTED_VALUE"""),"")</f>
        <v/>
      </c>
      <c r="Y61" s="7" t="s">
        <v>41</v>
      </c>
      <c r="Z61" s="9"/>
      <c r="AA61" s="9"/>
    </row>
    <row r="62">
      <c r="A62" s="4" t="s">
        <v>224</v>
      </c>
      <c r="B62" s="4" t="s">
        <v>26</v>
      </c>
      <c r="C62" s="4" t="s">
        <v>225</v>
      </c>
      <c r="D62" s="5" t="s">
        <v>226</v>
      </c>
      <c r="E62" s="4" t="s">
        <v>63</v>
      </c>
      <c r="F62" s="4" t="s">
        <v>26</v>
      </c>
      <c r="G62" s="4" t="s">
        <v>165</v>
      </c>
      <c r="H62" s="4">
        <v>10.0</v>
      </c>
      <c r="I62" s="4">
        <v>0.0</v>
      </c>
      <c r="J62" s="4" t="s">
        <v>46</v>
      </c>
      <c r="K62" s="6">
        <f t="shared" si="1"/>
        <v>5</v>
      </c>
      <c r="L62" s="4" t="s">
        <v>26</v>
      </c>
      <c r="M62" s="4" t="s">
        <v>26</v>
      </c>
      <c r="N62" s="4">
        <v>30.0</v>
      </c>
      <c r="O62" s="4" t="s">
        <v>26</v>
      </c>
      <c r="P62" s="4" t="s">
        <v>26</v>
      </c>
      <c r="Q62" s="4" t="s">
        <v>165</v>
      </c>
      <c r="R62" s="4" t="s">
        <v>26</v>
      </c>
      <c r="S62" s="4" t="s">
        <v>165</v>
      </c>
      <c r="T62" s="4">
        <v>100.0</v>
      </c>
      <c r="U62" s="4">
        <v>2.0</v>
      </c>
      <c r="V62" s="4" t="s">
        <v>26</v>
      </c>
      <c r="W62" s="6"/>
      <c r="X62" s="6" t="str">
        <f>IFERROR(__xludf.DUMMYFUNCTION("""COMPUTED_VALUE"""),"")</f>
        <v/>
      </c>
      <c r="Y62" s="4" t="s">
        <v>41</v>
      </c>
      <c r="Z62" s="6"/>
      <c r="AA62" s="6"/>
    </row>
    <row r="63">
      <c r="A63" s="7" t="s">
        <v>227</v>
      </c>
      <c r="B63" s="7">
        <v>0.02</v>
      </c>
      <c r="C63" s="7" t="s">
        <v>227</v>
      </c>
      <c r="D63" s="8" t="s">
        <v>228</v>
      </c>
      <c r="E63" s="7" t="s">
        <v>29</v>
      </c>
      <c r="F63" s="7" t="s">
        <v>26</v>
      </c>
      <c r="G63" s="7" t="s">
        <v>101</v>
      </c>
      <c r="H63" s="7">
        <v>105.0</v>
      </c>
      <c r="I63" s="7">
        <v>10.0</v>
      </c>
      <c r="J63" s="7" t="s">
        <v>40</v>
      </c>
      <c r="K63" s="9">
        <f t="shared" si="1"/>
        <v>55.26315789</v>
      </c>
      <c r="L63" s="7" t="s">
        <v>26</v>
      </c>
      <c r="M63" s="7">
        <v>0.04</v>
      </c>
      <c r="N63" s="7">
        <v>5.0</v>
      </c>
      <c r="O63" s="7" t="s">
        <v>26</v>
      </c>
      <c r="P63" s="7">
        <v>1.5</v>
      </c>
      <c r="Q63" s="7" t="s">
        <v>101</v>
      </c>
      <c r="R63" s="7">
        <v>10.0</v>
      </c>
      <c r="S63" s="7" t="s">
        <v>101</v>
      </c>
      <c r="T63" s="7">
        <v>1000.0</v>
      </c>
      <c r="U63" s="7">
        <v>1.9</v>
      </c>
      <c r="V63" s="7" t="s">
        <v>26</v>
      </c>
      <c r="W63" s="9"/>
      <c r="X63" s="9" t="str">
        <f>IFERROR(__xludf.DUMMYFUNCTION("""COMPUTED_VALUE"""),"B")</f>
        <v>B</v>
      </c>
      <c r="Y63" s="7" t="s">
        <v>55</v>
      </c>
      <c r="Z63" s="9"/>
      <c r="AA63" s="9"/>
    </row>
    <row r="64">
      <c r="A64" s="4" t="s">
        <v>229</v>
      </c>
      <c r="B64" s="4" t="s">
        <v>26</v>
      </c>
      <c r="C64" s="4" t="s">
        <v>230</v>
      </c>
      <c r="D64" s="5" t="s">
        <v>231</v>
      </c>
      <c r="E64" s="4" t="s">
        <v>63</v>
      </c>
      <c r="F64" s="4" t="s">
        <v>26</v>
      </c>
      <c r="G64" s="4" t="s">
        <v>64</v>
      </c>
      <c r="H64" s="4">
        <v>45.0</v>
      </c>
      <c r="I64" s="4" t="s">
        <v>26</v>
      </c>
      <c r="J64" s="4" t="s">
        <v>34</v>
      </c>
      <c r="K64" s="6">
        <f t="shared" si="1"/>
        <v>25.71428571</v>
      </c>
      <c r="L64" s="4" t="s">
        <v>26</v>
      </c>
      <c r="M64" s="4" t="s">
        <v>26</v>
      </c>
      <c r="N64" s="4">
        <v>40.0</v>
      </c>
      <c r="O64" s="4" t="s">
        <v>26</v>
      </c>
      <c r="P64" s="4" t="s">
        <v>26</v>
      </c>
      <c r="Q64" s="4" t="s">
        <v>65</v>
      </c>
      <c r="R64" s="4" t="s">
        <v>26</v>
      </c>
      <c r="S64" s="4" t="s">
        <v>66</v>
      </c>
      <c r="T64" s="4">
        <v>300.0</v>
      </c>
      <c r="U64" s="4">
        <v>1.75</v>
      </c>
      <c r="V64" s="4" t="s">
        <v>26</v>
      </c>
      <c r="W64" s="6"/>
      <c r="X64" s="6" t="str">
        <f>IFERROR(__xludf.DUMMYFUNCTION("""COMPUTED_VALUE"""),"C")</f>
        <v>C</v>
      </c>
      <c r="Y64" s="4" t="s">
        <v>189</v>
      </c>
      <c r="Z64" s="6"/>
      <c r="AA64" s="6"/>
    </row>
    <row r="65">
      <c r="A65" s="7" t="s">
        <v>232</v>
      </c>
      <c r="B65" s="7" t="s">
        <v>26</v>
      </c>
      <c r="C65" s="7" t="s">
        <v>233</v>
      </c>
      <c r="D65" s="8" t="s">
        <v>234</v>
      </c>
      <c r="E65" s="7" t="s">
        <v>29</v>
      </c>
      <c r="F65" s="7" t="s">
        <v>26</v>
      </c>
      <c r="G65" s="7" t="s">
        <v>101</v>
      </c>
      <c r="H65" s="7">
        <v>140.0</v>
      </c>
      <c r="I65" s="7">
        <v>10.0</v>
      </c>
      <c r="J65" s="7" t="s">
        <v>235</v>
      </c>
      <c r="K65" s="9">
        <f t="shared" si="1"/>
        <v>70</v>
      </c>
      <c r="L65" s="7" t="s">
        <v>26</v>
      </c>
      <c r="M65" s="7">
        <v>0.04</v>
      </c>
      <c r="N65" s="7">
        <v>5.0</v>
      </c>
      <c r="O65" s="7" t="s">
        <v>26</v>
      </c>
      <c r="P65" s="7" t="s">
        <v>26</v>
      </c>
      <c r="Q65" s="7" t="s">
        <v>101</v>
      </c>
      <c r="R65" s="7">
        <v>10.0</v>
      </c>
      <c r="S65" s="7" t="s">
        <v>101</v>
      </c>
      <c r="T65" s="7">
        <v>1300.0</v>
      </c>
      <c r="U65" s="7">
        <v>2.0</v>
      </c>
      <c r="V65" s="7" t="s">
        <v>26</v>
      </c>
      <c r="W65" s="9"/>
      <c r="X65" s="9" t="str">
        <f>IFERROR(__xludf.DUMMYFUNCTION("""COMPUTED_VALUE"""),"S")</f>
        <v>S</v>
      </c>
      <c r="Y65" s="7" t="s">
        <v>55</v>
      </c>
      <c r="Z65" s="9"/>
      <c r="AA65" s="9"/>
    </row>
    <row r="66">
      <c r="A66" s="4" t="s">
        <v>236</v>
      </c>
      <c r="B66" s="4" t="s">
        <v>26</v>
      </c>
      <c r="C66" s="4" t="s">
        <v>237</v>
      </c>
      <c r="D66" s="5" t="s">
        <v>238</v>
      </c>
      <c r="E66" s="4" t="s">
        <v>39</v>
      </c>
      <c r="F66" s="4" t="s">
        <v>26</v>
      </c>
      <c r="G66" s="4" t="s">
        <v>101</v>
      </c>
      <c r="H66" s="4">
        <v>18.0</v>
      </c>
      <c r="I66" s="4">
        <v>0.0</v>
      </c>
      <c r="J66" s="4" t="s">
        <v>46</v>
      </c>
      <c r="K66" s="6">
        <f t="shared" si="1"/>
        <v>18</v>
      </c>
      <c r="L66" s="4" t="s">
        <v>26</v>
      </c>
      <c r="M66" s="4" t="s">
        <v>26</v>
      </c>
      <c r="N66" s="4">
        <v>25.0</v>
      </c>
      <c r="O66" s="4" t="s">
        <v>26</v>
      </c>
      <c r="P66" s="4" t="s">
        <v>26</v>
      </c>
      <c r="Q66" s="4" t="s">
        <v>101</v>
      </c>
      <c r="R66" s="4">
        <v>35.0</v>
      </c>
      <c r="S66" s="4" t="s">
        <v>101</v>
      </c>
      <c r="T66" s="4">
        <v>800.0</v>
      </c>
      <c r="U66" s="4">
        <v>1.0</v>
      </c>
      <c r="V66" s="4" t="s">
        <v>26</v>
      </c>
      <c r="W66" s="6"/>
      <c r="X66" s="6" t="str">
        <f>IFERROR(__xludf.DUMMYFUNCTION("""COMPUTED_VALUE"""),"")</f>
        <v/>
      </c>
      <c r="Y66" s="4" t="s">
        <v>239</v>
      </c>
      <c r="Z66" s="6"/>
      <c r="AA66" s="6"/>
    </row>
    <row r="67">
      <c r="A67" s="7" t="s">
        <v>109</v>
      </c>
      <c r="B67" s="7" t="s">
        <v>26</v>
      </c>
      <c r="C67" s="7" t="s">
        <v>109</v>
      </c>
      <c r="D67" s="8" t="s">
        <v>240</v>
      </c>
      <c r="E67" s="7" t="s">
        <v>49</v>
      </c>
      <c r="F67" s="7" t="s">
        <v>26</v>
      </c>
      <c r="G67" s="7" t="s">
        <v>109</v>
      </c>
      <c r="H67" s="7">
        <v>20.0</v>
      </c>
      <c r="I67" s="7">
        <v>0.0</v>
      </c>
      <c r="J67" s="7" t="s">
        <v>34</v>
      </c>
      <c r="K67" s="9">
        <f t="shared" si="1"/>
        <v>3.333333333</v>
      </c>
      <c r="L67" s="7" t="s">
        <v>26</v>
      </c>
      <c r="M67" s="7" t="s">
        <v>26</v>
      </c>
      <c r="N67" s="7">
        <v>70.0</v>
      </c>
      <c r="O67" s="7" t="s">
        <v>26</v>
      </c>
      <c r="P67" s="7" t="s">
        <v>26</v>
      </c>
      <c r="Q67" s="7" t="s">
        <v>109</v>
      </c>
      <c r="R67" s="7" t="s">
        <v>26</v>
      </c>
      <c r="S67" s="7" t="s">
        <v>109</v>
      </c>
      <c r="T67" s="7">
        <v>110.0</v>
      </c>
      <c r="U67" s="7">
        <v>6.0</v>
      </c>
      <c r="V67" s="7" t="s">
        <v>26</v>
      </c>
      <c r="W67" s="9"/>
      <c r="X67" s="9" t="str">
        <f>IFERROR(__xludf.DUMMYFUNCTION("""COMPUTED_VALUE"""),"C")</f>
        <v>C</v>
      </c>
      <c r="Y67" s="7" t="s">
        <v>41</v>
      </c>
      <c r="Z67" s="9"/>
      <c r="AA67" s="9"/>
    </row>
    <row r="68">
      <c r="A68" s="4" t="s">
        <v>241</v>
      </c>
      <c r="B68" s="4">
        <v>0.06</v>
      </c>
      <c r="C68" s="4" t="s">
        <v>242</v>
      </c>
      <c r="D68" s="5" t="s">
        <v>243</v>
      </c>
      <c r="E68" s="4" t="s">
        <v>45</v>
      </c>
      <c r="F68" s="4" t="s">
        <v>26</v>
      </c>
      <c r="G68" s="4" t="s">
        <v>26</v>
      </c>
      <c r="H68" s="4">
        <v>65.0</v>
      </c>
      <c r="I68" s="4">
        <v>0.0</v>
      </c>
      <c r="J68" s="4" t="s">
        <v>34</v>
      </c>
      <c r="K68" s="6">
        <f t="shared" si="1"/>
        <v>28.88888889</v>
      </c>
      <c r="L68" s="4" t="s">
        <v>26</v>
      </c>
      <c r="M68" s="4">
        <v>0.06</v>
      </c>
      <c r="N68" s="4">
        <v>45.0</v>
      </c>
      <c r="O68" s="4" t="s">
        <v>26</v>
      </c>
      <c r="P68" s="4">
        <v>1.75</v>
      </c>
      <c r="Q68" s="4" t="s">
        <v>26</v>
      </c>
      <c r="R68" s="4" t="s">
        <v>26</v>
      </c>
      <c r="S68" s="4" t="s">
        <v>26</v>
      </c>
      <c r="T68" s="4">
        <v>120.0</v>
      </c>
      <c r="U68" s="4">
        <v>2.25</v>
      </c>
      <c r="V68" s="4" t="s">
        <v>26</v>
      </c>
      <c r="W68" s="6"/>
      <c r="X68" s="6" t="str">
        <f>IFERROR(__xludf.DUMMYFUNCTION("""COMPUTED_VALUE"""),"")</f>
        <v/>
      </c>
      <c r="Y68" s="4" t="s">
        <v>91</v>
      </c>
      <c r="Z68" s="6"/>
      <c r="AA68" s="6"/>
    </row>
    <row r="69">
      <c r="A69" s="7" t="s">
        <v>244</v>
      </c>
      <c r="B69" s="7" t="s">
        <v>26</v>
      </c>
      <c r="C69" s="7" t="s">
        <v>245</v>
      </c>
      <c r="D69" s="8" t="s">
        <v>246</v>
      </c>
      <c r="E69" s="7" t="s">
        <v>45</v>
      </c>
      <c r="F69" s="7" t="s">
        <v>26</v>
      </c>
      <c r="G69" s="7" t="s">
        <v>26</v>
      </c>
      <c r="H69" s="7">
        <v>35.0</v>
      </c>
      <c r="I69" s="7">
        <v>0.0</v>
      </c>
      <c r="J69" s="7" t="s">
        <v>30</v>
      </c>
      <c r="K69" s="9">
        <f t="shared" si="1"/>
        <v>20</v>
      </c>
      <c r="L69" s="7" t="s">
        <v>26</v>
      </c>
      <c r="M69" s="7" t="s">
        <v>26</v>
      </c>
      <c r="N69" s="7">
        <v>35.0</v>
      </c>
      <c r="O69" s="7" t="s">
        <v>26</v>
      </c>
      <c r="P69" s="7" t="s">
        <v>26</v>
      </c>
      <c r="Q69" s="7" t="s">
        <v>26</v>
      </c>
      <c r="R69" s="7" t="s">
        <v>26</v>
      </c>
      <c r="S69" s="7" t="s">
        <v>26</v>
      </c>
      <c r="T69" s="7">
        <v>90.0</v>
      </c>
      <c r="U69" s="7">
        <v>1.75</v>
      </c>
      <c r="V69" s="7" t="s">
        <v>26</v>
      </c>
      <c r="W69" s="9"/>
      <c r="X69" s="9" t="str">
        <f>IFERROR(__xludf.DUMMYFUNCTION("""COMPUTED_VALUE"""),"")</f>
        <v/>
      </c>
      <c r="Y69" s="7" t="s">
        <v>91</v>
      </c>
      <c r="Z69" s="9"/>
      <c r="AA69" s="9"/>
    </row>
    <row r="70">
      <c r="A70" s="4" t="s">
        <v>247</v>
      </c>
      <c r="B70" s="4" t="s">
        <v>26</v>
      </c>
      <c r="C70" s="4" t="s">
        <v>247</v>
      </c>
      <c r="D70" s="5" t="s">
        <v>248</v>
      </c>
      <c r="E70" s="4" t="s">
        <v>39</v>
      </c>
      <c r="F70" s="4" t="s">
        <v>26</v>
      </c>
      <c r="G70" s="4" t="s">
        <v>26</v>
      </c>
      <c r="H70" s="4">
        <v>30.0</v>
      </c>
      <c r="I70" s="4">
        <v>0.0</v>
      </c>
      <c r="J70" s="4" t="s">
        <v>90</v>
      </c>
      <c r="K70" s="6">
        <f t="shared" si="1"/>
        <v>20</v>
      </c>
      <c r="L70" s="4" t="s">
        <v>26</v>
      </c>
      <c r="M70" s="4" t="s">
        <v>26</v>
      </c>
      <c r="N70" s="4">
        <v>6.0</v>
      </c>
      <c r="O70" s="4" t="s">
        <v>26</v>
      </c>
      <c r="P70" s="4" t="s">
        <v>26</v>
      </c>
      <c r="Q70" s="4" t="s">
        <v>26</v>
      </c>
      <c r="R70" s="4" t="s">
        <v>26</v>
      </c>
      <c r="S70" s="4" t="s">
        <v>26</v>
      </c>
      <c r="T70" s="4">
        <v>300.0</v>
      </c>
      <c r="U70" s="4">
        <v>1.5</v>
      </c>
      <c r="V70" s="4" t="s">
        <v>26</v>
      </c>
      <c r="W70" s="6"/>
      <c r="X70" s="6" t="str">
        <f>IFERROR(__xludf.DUMMYFUNCTION("""COMPUTED_VALUE"""),"")</f>
        <v/>
      </c>
      <c r="Y70" s="4" t="s">
        <v>91</v>
      </c>
      <c r="Z70" s="6"/>
      <c r="AA70" s="6"/>
    </row>
    <row r="71">
      <c r="A71" s="7" t="s">
        <v>249</v>
      </c>
      <c r="B71" s="7" t="s">
        <v>26</v>
      </c>
      <c r="C71" s="7" t="s">
        <v>250</v>
      </c>
      <c r="D71" s="8" t="s">
        <v>251</v>
      </c>
      <c r="E71" s="7" t="s">
        <v>29</v>
      </c>
      <c r="F71" s="7" t="s">
        <v>26</v>
      </c>
      <c r="G71" s="7" t="s">
        <v>26</v>
      </c>
      <c r="H71" s="7">
        <v>8.0</v>
      </c>
      <c r="I71" s="7">
        <v>0.0</v>
      </c>
      <c r="J71" s="7" t="s">
        <v>58</v>
      </c>
      <c r="K71" s="9">
        <f t="shared" si="1"/>
        <v>8</v>
      </c>
      <c r="L71" s="7" t="s">
        <v>26</v>
      </c>
      <c r="M71" s="7" t="s">
        <v>26</v>
      </c>
      <c r="N71" s="7">
        <v>6.0</v>
      </c>
      <c r="O71" s="7" t="s">
        <v>26</v>
      </c>
      <c r="P71" s="7" t="s">
        <v>26</v>
      </c>
      <c r="Q71" s="7" t="s">
        <v>26</v>
      </c>
      <c r="R71" s="7" t="s">
        <v>26</v>
      </c>
      <c r="S71" s="7" t="s">
        <v>26</v>
      </c>
      <c r="T71" s="7">
        <v>80.0</v>
      </c>
      <c r="U71" s="7">
        <v>1.0</v>
      </c>
      <c r="V71" s="7" t="s">
        <v>26</v>
      </c>
      <c r="W71" s="9"/>
      <c r="X71" s="9" t="str">
        <f>IFERROR(__xludf.DUMMYFUNCTION("""COMPUTED_VALUE"""),"")</f>
        <v/>
      </c>
      <c r="Y71" s="7" t="s">
        <v>41</v>
      </c>
      <c r="Z71" s="9"/>
      <c r="AA71" s="9"/>
    </row>
    <row r="72">
      <c r="A72" s="4" t="s">
        <v>252</v>
      </c>
      <c r="B72" s="4">
        <v>0.36</v>
      </c>
      <c r="C72" s="4" t="s">
        <v>252</v>
      </c>
      <c r="D72" s="5" t="s">
        <v>253</v>
      </c>
      <c r="E72" s="4" t="s">
        <v>74</v>
      </c>
      <c r="F72" s="4" t="s">
        <v>26</v>
      </c>
      <c r="G72" s="4" t="s">
        <v>101</v>
      </c>
      <c r="H72" s="4">
        <v>45.0</v>
      </c>
      <c r="I72" s="4">
        <v>0.0</v>
      </c>
      <c r="J72" s="4" t="s">
        <v>34</v>
      </c>
      <c r="K72" s="6">
        <f t="shared" si="1"/>
        <v>56.25</v>
      </c>
      <c r="L72" s="4" t="s">
        <v>26</v>
      </c>
      <c r="M72" s="4">
        <v>0.26</v>
      </c>
      <c r="N72" s="4">
        <v>6.0</v>
      </c>
      <c r="O72" s="4">
        <v>30.0</v>
      </c>
      <c r="P72" s="4">
        <v>2.0</v>
      </c>
      <c r="Q72" s="4" t="s">
        <v>101</v>
      </c>
      <c r="R72" s="4">
        <v>25.0</v>
      </c>
      <c r="S72" s="4" t="s">
        <v>101</v>
      </c>
      <c r="T72" s="4">
        <v>300.0</v>
      </c>
      <c r="U72" s="4">
        <v>0.8</v>
      </c>
      <c r="V72" s="4">
        <v>1.0</v>
      </c>
      <c r="W72" s="6"/>
      <c r="X72" s="6" t="str">
        <f>IFERROR(__xludf.DUMMYFUNCTION("""COMPUTED_VALUE"""),"C")</f>
        <v>C</v>
      </c>
      <c r="Y72" s="4" t="s">
        <v>41</v>
      </c>
      <c r="Z72" s="6"/>
      <c r="AA72" s="6"/>
    </row>
    <row r="73">
      <c r="A73" s="7" t="s">
        <v>254</v>
      </c>
      <c r="B73" s="7" t="s">
        <v>26</v>
      </c>
      <c r="C73" s="7" t="s">
        <v>255</v>
      </c>
      <c r="D73" s="8" t="s">
        <v>256</v>
      </c>
      <c r="E73" s="7" t="s">
        <v>29</v>
      </c>
      <c r="F73" s="7" t="s">
        <v>26</v>
      </c>
      <c r="G73" s="7" t="s">
        <v>26</v>
      </c>
      <c r="H73" s="7">
        <v>46.0</v>
      </c>
      <c r="I73" s="7">
        <v>0.0</v>
      </c>
      <c r="J73" s="7" t="s">
        <v>34</v>
      </c>
      <c r="K73" s="9">
        <f t="shared" si="1"/>
        <v>32.85714286</v>
      </c>
      <c r="L73" s="7" t="s">
        <v>26</v>
      </c>
      <c r="M73" s="7" t="s">
        <v>26</v>
      </c>
      <c r="N73" s="7">
        <v>5.0</v>
      </c>
      <c r="O73" s="7" t="s">
        <v>26</v>
      </c>
      <c r="P73" s="7" t="s">
        <v>26</v>
      </c>
      <c r="Q73" s="7" t="s">
        <v>26</v>
      </c>
      <c r="R73" s="7" t="s">
        <v>26</v>
      </c>
      <c r="S73" s="7" t="s">
        <v>26</v>
      </c>
      <c r="T73" s="7">
        <v>300.0</v>
      </c>
      <c r="U73" s="7">
        <v>1.4</v>
      </c>
      <c r="V73" s="7" t="s">
        <v>26</v>
      </c>
      <c r="W73" s="9"/>
      <c r="X73" s="9" t="str">
        <f>IFERROR(__xludf.DUMMYFUNCTION("""COMPUTED_VALUE"""),"")</f>
        <v/>
      </c>
      <c r="Y73" s="7" t="s">
        <v>189</v>
      </c>
      <c r="Z73" s="9"/>
      <c r="AA73" s="9"/>
    </row>
    <row r="74">
      <c r="A74" s="4" t="s">
        <v>257</v>
      </c>
      <c r="B74" s="4">
        <v>0.08</v>
      </c>
      <c r="C74" s="4" t="s">
        <v>257</v>
      </c>
      <c r="D74" s="5" t="s">
        <v>258</v>
      </c>
      <c r="E74" s="4" t="s">
        <v>45</v>
      </c>
      <c r="F74" s="4">
        <v>13.0</v>
      </c>
      <c r="G74" s="4" t="s">
        <v>96</v>
      </c>
      <c r="H74" s="4">
        <v>105.0</v>
      </c>
      <c r="I74" s="4">
        <v>0.0</v>
      </c>
      <c r="J74" s="4" t="s">
        <v>34</v>
      </c>
      <c r="K74" s="6">
        <f t="shared" si="1"/>
        <v>26.25</v>
      </c>
      <c r="L74" s="4">
        <v>100.0</v>
      </c>
      <c r="M74" s="4">
        <v>0.05</v>
      </c>
      <c r="N74" s="4">
        <v>50.0</v>
      </c>
      <c r="O74" s="4" t="s">
        <v>26</v>
      </c>
      <c r="P74" s="4">
        <v>15.0</v>
      </c>
      <c r="Q74" s="4" t="s">
        <v>7</v>
      </c>
      <c r="R74" s="4" t="s">
        <v>26</v>
      </c>
      <c r="S74" s="4" t="s">
        <v>97</v>
      </c>
      <c r="T74" s="4">
        <v>200.0</v>
      </c>
      <c r="U74" s="4">
        <v>4.0</v>
      </c>
      <c r="V74" s="4" t="s">
        <v>26</v>
      </c>
      <c r="W74" s="6"/>
      <c r="X74" s="6" t="str">
        <f>IFERROR(__xludf.DUMMYFUNCTION("""COMPUTED_VALUE"""),"")</f>
        <v/>
      </c>
      <c r="Y74" s="4" t="s">
        <v>189</v>
      </c>
      <c r="Z74" s="6"/>
      <c r="AA74" s="6"/>
    </row>
    <row r="75">
      <c r="A75" s="7" t="s">
        <v>259</v>
      </c>
      <c r="B75" s="7" t="s">
        <v>26</v>
      </c>
      <c r="C75" s="7" t="s">
        <v>260</v>
      </c>
      <c r="D75" s="8" t="s">
        <v>261</v>
      </c>
      <c r="E75" s="7" t="s">
        <v>29</v>
      </c>
      <c r="F75" s="7" t="s">
        <v>26</v>
      </c>
      <c r="G75" s="7" t="s">
        <v>26</v>
      </c>
      <c r="H75" s="7">
        <v>65.0</v>
      </c>
      <c r="I75" s="7">
        <v>0.0</v>
      </c>
      <c r="J75" s="7" t="s">
        <v>46</v>
      </c>
      <c r="K75" s="9">
        <f t="shared" si="1"/>
        <v>39.39393939</v>
      </c>
      <c r="L75" s="7" t="s">
        <v>26</v>
      </c>
      <c r="M75" s="7" t="s">
        <v>26</v>
      </c>
      <c r="N75" s="7">
        <v>10.0</v>
      </c>
      <c r="O75" s="7" t="s">
        <v>26</v>
      </c>
      <c r="P75" s="7" t="s">
        <v>26</v>
      </c>
      <c r="Q75" s="7" t="s">
        <v>26</v>
      </c>
      <c r="R75" s="7" t="s">
        <v>26</v>
      </c>
      <c r="S75" s="7" t="s">
        <v>26</v>
      </c>
      <c r="T75" s="7">
        <v>350.0</v>
      </c>
      <c r="U75" s="7">
        <v>1.65</v>
      </c>
      <c r="V75" s="7" t="s">
        <v>26</v>
      </c>
      <c r="W75" s="9"/>
      <c r="X75" s="9" t="str">
        <f>IFERROR(__xludf.DUMMYFUNCTION("""COMPUTED_VALUE"""),"")</f>
        <v/>
      </c>
      <c r="Y75" s="7" t="s">
        <v>262</v>
      </c>
      <c r="Z75" s="9"/>
      <c r="AA75" s="9"/>
    </row>
    <row r="76">
      <c r="A76" s="4" t="s">
        <v>263</v>
      </c>
      <c r="B76" s="4">
        <v>0.35</v>
      </c>
      <c r="C76" s="4" t="s">
        <v>264</v>
      </c>
      <c r="D76" s="5" t="s">
        <v>265</v>
      </c>
      <c r="E76" s="4" t="s">
        <v>74</v>
      </c>
      <c r="F76" s="4" t="s">
        <v>26</v>
      </c>
      <c r="G76" s="4" t="s">
        <v>101</v>
      </c>
      <c r="H76" s="4">
        <v>40.0</v>
      </c>
      <c r="I76" s="4">
        <v>0.0</v>
      </c>
      <c r="J76" s="4" t="s">
        <v>34</v>
      </c>
      <c r="K76" s="6">
        <f t="shared" si="1"/>
        <v>50</v>
      </c>
      <c r="L76" s="4" t="s">
        <v>26</v>
      </c>
      <c r="M76" s="4">
        <v>0.25</v>
      </c>
      <c r="N76" s="4">
        <v>6.0</v>
      </c>
      <c r="O76" s="4">
        <v>30.0</v>
      </c>
      <c r="P76" s="4" t="s">
        <v>26</v>
      </c>
      <c r="Q76" s="4" t="s">
        <v>101</v>
      </c>
      <c r="R76" s="4">
        <v>20.0</v>
      </c>
      <c r="S76" s="4" t="s">
        <v>101</v>
      </c>
      <c r="T76" s="4">
        <v>110.0</v>
      </c>
      <c r="U76" s="4">
        <v>0.8</v>
      </c>
      <c r="V76" s="4">
        <v>1.0</v>
      </c>
      <c r="W76" s="6"/>
      <c r="X76" s="6" t="str">
        <f>IFERROR(__xludf.DUMMYFUNCTION("""COMPUTED_VALUE"""),"")</f>
        <v/>
      </c>
      <c r="Y76" s="4" t="s">
        <v>266</v>
      </c>
      <c r="Z76" s="6"/>
      <c r="AA76" s="6"/>
    </row>
    <row r="77">
      <c r="A77" s="7" t="s">
        <v>267</v>
      </c>
      <c r="B77" s="7" t="s">
        <v>26</v>
      </c>
      <c r="C77" s="7" t="s">
        <v>267</v>
      </c>
      <c r="D77" s="8" t="s">
        <v>131</v>
      </c>
      <c r="E77" s="7" t="s">
        <v>29</v>
      </c>
      <c r="F77" s="7" t="s">
        <v>26</v>
      </c>
      <c r="G77" s="7" t="s">
        <v>26</v>
      </c>
      <c r="H77" s="7">
        <v>30.0</v>
      </c>
      <c r="I77" s="7">
        <v>0.0</v>
      </c>
      <c r="J77" s="7" t="s">
        <v>90</v>
      </c>
      <c r="K77" s="9">
        <f t="shared" si="1"/>
        <v>18.75</v>
      </c>
      <c r="L77" s="7" t="s">
        <v>26</v>
      </c>
      <c r="M77" s="7" t="s">
        <v>26</v>
      </c>
      <c r="N77" s="7">
        <v>7.0</v>
      </c>
      <c r="O77" s="7" t="s">
        <v>26</v>
      </c>
      <c r="P77" s="7" t="s">
        <v>26</v>
      </c>
      <c r="Q77" s="7" t="s">
        <v>26</v>
      </c>
      <c r="R77" s="7" t="s">
        <v>26</v>
      </c>
      <c r="S77" s="7" t="s">
        <v>26</v>
      </c>
      <c r="T77" s="7">
        <v>280.0</v>
      </c>
      <c r="U77" s="7">
        <v>1.6</v>
      </c>
      <c r="V77" s="7" t="s">
        <v>26</v>
      </c>
      <c r="W77" s="9"/>
      <c r="X77" s="9" t="str">
        <f>IFERROR(__xludf.DUMMYFUNCTION("""COMPUTED_VALUE"""),"")</f>
        <v/>
      </c>
      <c r="Y77" s="7" t="s">
        <v>41</v>
      </c>
      <c r="Z77" s="9"/>
      <c r="AA77" s="9"/>
    </row>
    <row r="78">
      <c r="A78" s="4" t="s">
        <v>268</v>
      </c>
      <c r="B78" s="4" t="s">
        <v>26</v>
      </c>
      <c r="C78" s="4" t="s">
        <v>268</v>
      </c>
      <c r="D78" s="5" t="s">
        <v>269</v>
      </c>
      <c r="E78" s="4" t="s">
        <v>63</v>
      </c>
      <c r="F78" s="4" t="s">
        <v>26</v>
      </c>
      <c r="G78" s="4" t="s">
        <v>26</v>
      </c>
      <c r="H78" s="4">
        <v>37.0</v>
      </c>
      <c r="I78" s="4">
        <v>0.0</v>
      </c>
      <c r="J78" s="4" t="s">
        <v>34</v>
      </c>
      <c r="K78" s="6">
        <f t="shared" si="1"/>
        <v>7.4</v>
      </c>
      <c r="L78" s="4" t="s">
        <v>26</v>
      </c>
      <c r="M78" s="4" t="s">
        <v>26</v>
      </c>
      <c r="N78" s="4">
        <v>30.0</v>
      </c>
      <c r="O78" s="4" t="s">
        <v>26</v>
      </c>
      <c r="P78" s="4" t="s">
        <v>26</v>
      </c>
      <c r="Q78" s="4" t="s">
        <v>26</v>
      </c>
      <c r="R78" s="4" t="s">
        <v>26</v>
      </c>
      <c r="S78" s="4" t="s">
        <v>26</v>
      </c>
      <c r="T78" s="4">
        <v>260.0</v>
      </c>
      <c r="U78" s="4">
        <v>5.0</v>
      </c>
      <c r="V78" s="4" t="s">
        <v>26</v>
      </c>
      <c r="W78" s="6"/>
      <c r="X78" s="6" t="str">
        <f>IFERROR(__xludf.DUMMYFUNCTION("""COMPUTED_VALUE"""),"")</f>
        <v/>
      </c>
      <c r="Y78" s="4" t="s">
        <v>189</v>
      </c>
      <c r="Z78" s="6"/>
      <c r="AA78" s="6"/>
    </row>
    <row r="79">
      <c r="A79" s="7" t="s">
        <v>270</v>
      </c>
      <c r="B79" s="7" t="s">
        <v>26</v>
      </c>
      <c r="C79" s="7" t="s">
        <v>270</v>
      </c>
      <c r="D79" s="8" t="s">
        <v>271</v>
      </c>
      <c r="E79" s="7" t="s">
        <v>49</v>
      </c>
      <c r="F79" s="7" t="s">
        <v>26</v>
      </c>
      <c r="G79" s="7" t="s">
        <v>109</v>
      </c>
      <c r="H79" s="7">
        <v>30.0</v>
      </c>
      <c r="I79" s="7">
        <v>0.0</v>
      </c>
      <c r="J79" s="7" t="s">
        <v>34</v>
      </c>
      <c r="K79" s="9">
        <f t="shared" si="1"/>
        <v>5.454545455</v>
      </c>
      <c r="L79" s="7" t="s">
        <v>26</v>
      </c>
      <c r="M79" s="7" t="s">
        <v>26</v>
      </c>
      <c r="N79" s="7">
        <v>70.0</v>
      </c>
      <c r="O79" s="7" t="s">
        <v>26</v>
      </c>
      <c r="P79" s="7" t="s">
        <v>26</v>
      </c>
      <c r="Q79" s="7" t="s">
        <v>109</v>
      </c>
      <c r="R79" s="7" t="s">
        <v>26</v>
      </c>
      <c r="S79" s="7" t="s">
        <v>109</v>
      </c>
      <c r="T79" s="7">
        <v>300.0</v>
      </c>
      <c r="U79" s="7">
        <v>5.5</v>
      </c>
      <c r="V79" s="7" t="s">
        <v>26</v>
      </c>
      <c r="W79" s="9"/>
      <c r="X79" s="9" t="str">
        <f>IFERROR(__xludf.DUMMYFUNCTION("""COMPUTED_VALUE"""),"B")</f>
        <v>B</v>
      </c>
      <c r="Y79" s="7" t="s">
        <v>70</v>
      </c>
      <c r="Z79" s="9"/>
      <c r="AA79" s="9"/>
    </row>
    <row r="80">
      <c r="A80" s="4" t="s">
        <v>272</v>
      </c>
      <c r="B80" s="4">
        <v>0.15</v>
      </c>
      <c r="C80" s="4" t="s">
        <v>273</v>
      </c>
      <c r="D80" s="5" t="s">
        <v>274</v>
      </c>
      <c r="E80" s="4" t="s">
        <v>74</v>
      </c>
      <c r="F80" s="4" t="s">
        <v>26</v>
      </c>
      <c r="G80" s="4" t="s">
        <v>165</v>
      </c>
      <c r="H80" s="4">
        <v>22.0</v>
      </c>
      <c r="I80" s="4">
        <v>0.0</v>
      </c>
      <c r="J80" s="4" t="s">
        <v>46</v>
      </c>
      <c r="K80" s="6">
        <f t="shared" si="1"/>
        <v>29.33333333</v>
      </c>
      <c r="L80" s="4" t="s">
        <v>26</v>
      </c>
      <c r="M80" s="4">
        <v>0.15</v>
      </c>
      <c r="N80" s="4">
        <v>6.0</v>
      </c>
      <c r="O80" s="4">
        <v>14.0</v>
      </c>
      <c r="P80" s="4" t="s">
        <v>26</v>
      </c>
      <c r="Q80" s="4" t="s">
        <v>165</v>
      </c>
      <c r="R80" s="4" t="s">
        <v>26</v>
      </c>
      <c r="S80" s="4" t="s">
        <v>165</v>
      </c>
      <c r="T80" s="4">
        <v>90.0</v>
      </c>
      <c r="U80" s="4">
        <v>0.75</v>
      </c>
      <c r="V80" s="4">
        <v>2.0</v>
      </c>
      <c r="W80" s="6"/>
      <c r="X80" s="6" t="str">
        <f>IFERROR(__xludf.DUMMYFUNCTION("""COMPUTED_VALUE"""),"")</f>
        <v/>
      </c>
      <c r="Y80" s="4" t="s">
        <v>31</v>
      </c>
      <c r="Z80" s="6"/>
      <c r="AA80" s="6"/>
    </row>
    <row r="81">
      <c r="A81" s="7" t="s">
        <v>275</v>
      </c>
      <c r="B81" s="7" t="s">
        <v>26</v>
      </c>
      <c r="C81" s="7" t="s">
        <v>276</v>
      </c>
      <c r="D81" s="8" t="s">
        <v>277</v>
      </c>
      <c r="E81" s="7" t="s">
        <v>29</v>
      </c>
      <c r="F81" s="7" t="s">
        <v>26</v>
      </c>
      <c r="G81" s="7" t="s">
        <v>96</v>
      </c>
      <c r="H81" s="7">
        <v>70.0</v>
      </c>
      <c r="I81" s="7">
        <v>0.0</v>
      </c>
      <c r="J81" s="7" t="s">
        <v>34</v>
      </c>
      <c r="K81" s="9">
        <f t="shared" si="1"/>
        <v>23.33333333</v>
      </c>
      <c r="L81" s="7" t="s">
        <v>26</v>
      </c>
      <c r="M81" s="7" t="s">
        <v>26</v>
      </c>
      <c r="N81" s="7">
        <v>6.0</v>
      </c>
      <c r="O81" s="7" t="s">
        <v>26</v>
      </c>
      <c r="P81" s="7" t="s">
        <v>26</v>
      </c>
      <c r="Q81" s="7" t="s">
        <v>7</v>
      </c>
      <c r="R81" s="7" t="s">
        <v>26</v>
      </c>
      <c r="S81" s="7" t="s">
        <v>97</v>
      </c>
      <c r="T81" s="7">
        <v>400.0</v>
      </c>
      <c r="U81" s="7">
        <v>3.0</v>
      </c>
      <c r="V81" s="7" t="s">
        <v>26</v>
      </c>
      <c r="W81" s="9"/>
      <c r="X81" s="9" t="str">
        <f>IFERROR(__xludf.DUMMYFUNCTION("""COMPUTED_VALUE"""),"")</f>
        <v/>
      </c>
      <c r="Y81" s="7" t="s">
        <v>41</v>
      </c>
      <c r="Z81" s="9"/>
      <c r="AA81" s="9"/>
    </row>
    <row r="82">
      <c r="A82" s="4" t="s">
        <v>278</v>
      </c>
      <c r="B82" s="4">
        <v>0.02</v>
      </c>
      <c r="C82" s="4" t="s">
        <v>279</v>
      </c>
      <c r="D82" s="5" t="s">
        <v>280</v>
      </c>
      <c r="E82" s="4" t="s">
        <v>29</v>
      </c>
      <c r="F82" s="4" t="s">
        <v>26</v>
      </c>
      <c r="G82" s="4" t="s">
        <v>26</v>
      </c>
      <c r="H82" s="4">
        <v>125.0</v>
      </c>
      <c r="I82" s="4">
        <v>10.0</v>
      </c>
      <c r="J82" s="4" t="s">
        <v>235</v>
      </c>
      <c r="K82" s="6">
        <f t="shared" si="1"/>
        <v>69.44444444</v>
      </c>
      <c r="L82" s="4">
        <v>1.41</v>
      </c>
      <c r="M82" s="4">
        <v>0.04</v>
      </c>
      <c r="N82" s="4">
        <v>5.0</v>
      </c>
      <c r="O82" s="4" t="s">
        <v>26</v>
      </c>
      <c r="P82" s="4">
        <v>1.5</v>
      </c>
      <c r="Q82" s="4" t="s">
        <v>26</v>
      </c>
      <c r="R82" s="4" t="s">
        <v>26</v>
      </c>
      <c r="S82" s="4" t="s">
        <v>26</v>
      </c>
      <c r="T82" s="4">
        <v>1250.0</v>
      </c>
      <c r="U82" s="4">
        <v>1.8</v>
      </c>
      <c r="V82" s="4" t="s">
        <v>26</v>
      </c>
      <c r="W82" s="6"/>
      <c r="X82" s="6" t="str">
        <f>IFERROR(__xludf.DUMMYFUNCTION("""COMPUTED_VALUE"""),"C")</f>
        <v>C</v>
      </c>
      <c r="Y82" s="4" t="s">
        <v>102</v>
      </c>
      <c r="Z82" s="6"/>
      <c r="AA82" s="6"/>
    </row>
    <row r="83">
      <c r="A83" s="7" t="s">
        <v>281</v>
      </c>
      <c r="B83" s="7" t="s">
        <v>26</v>
      </c>
      <c r="C83" s="7" t="s">
        <v>281</v>
      </c>
      <c r="D83" s="8" t="s">
        <v>282</v>
      </c>
      <c r="E83" s="7" t="s">
        <v>45</v>
      </c>
      <c r="F83" s="7" t="s">
        <v>26</v>
      </c>
      <c r="G83" s="7" t="s">
        <v>26</v>
      </c>
      <c r="H83" s="7">
        <v>25.0</v>
      </c>
      <c r="I83" s="7">
        <v>0.0</v>
      </c>
      <c r="J83" s="7" t="s">
        <v>40</v>
      </c>
      <c r="K83" s="9">
        <f t="shared" si="1"/>
        <v>25</v>
      </c>
      <c r="L83" s="7" t="s">
        <v>26</v>
      </c>
      <c r="M83" s="7" t="s">
        <v>26</v>
      </c>
      <c r="N83" s="7">
        <v>45.0</v>
      </c>
      <c r="O83" s="7" t="s">
        <v>26</v>
      </c>
      <c r="P83" s="7" t="s">
        <v>26</v>
      </c>
      <c r="Q83" s="7" t="s">
        <v>26</v>
      </c>
      <c r="R83" s="7" t="s">
        <v>26</v>
      </c>
      <c r="S83" s="7" t="s">
        <v>26</v>
      </c>
      <c r="T83" s="7">
        <v>450.0</v>
      </c>
      <c r="U83" s="7">
        <v>1.0</v>
      </c>
      <c r="V83" s="7" t="s">
        <v>26</v>
      </c>
      <c r="W83" s="7">
        <v>6.0</v>
      </c>
      <c r="X83" s="9" t="str">
        <f>IFERROR(__xludf.DUMMYFUNCTION("""COMPUTED_VALUE"""),"S")</f>
        <v>S</v>
      </c>
      <c r="Y83" s="7" t="s">
        <v>283</v>
      </c>
      <c r="Z83" s="9"/>
      <c r="AA83" s="9"/>
    </row>
    <row r="84">
      <c r="A84" s="4" t="s">
        <v>284</v>
      </c>
      <c r="B84" s="4" t="s">
        <v>26</v>
      </c>
      <c r="C84" s="4" t="s">
        <v>285</v>
      </c>
      <c r="D84" s="5" t="s">
        <v>286</v>
      </c>
      <c r="E84" s="4" t="s">
        <v>29</v>
      </c>
      <c r="F84" s="4" t="s">
        <v>26</v>
      </c>
      <c r="G84" s="4" t="s">
        <v>101</v>
      </c>
      <c r="H84" s="4">
        <v>15.0</v>
      </c>
      <c r="I84" s="4">
        <v>0.0</v>
      </c>
      <c r="J84" s="4" t="s">
        <v>46</v>
      </c>
      <c r="K84" s="6">
        <f t="shared" si="1"/>
        <v>25</v>
      </c>
      <c r="L84" s="4" t="s">
        <v>26</v>
      </c>
      <c r="M84" s="4" t="s">
        <v>26</v>
      </c>
      <c r="N84" s="4">
        <v>5.0</v>
      </c>
      <c r="O84" s="4" t="s">
        <v>26</v>
      </c>
      <c r="P84" s="4" t="s">
        <v>26</v>
      </c>
      <c r="Q84" s="4" t="s">
        <v>101</v>
      </c>
      <c r="R84" s="4">
        <v>7.0</v>
      </c>
      <c r="S84" s="4" t="s">
        <v>101</v>
      </c>
      <c r="T84" s="4">
        <v>300.0</v>
      </c>
      <c r="U84" s="4">
        <v>0.6</v>
      </c>
      <c r="V84" s="4" t="s">
        <v>26</v>
      </c>
      <c r="W84" s="6"/>
      <c r="X84" s="6" t="str">
        <f>IFERROR(__xludf.DUMMYFUNCTION("""COMPUTED_VALUE"""),"")</f>
        <v/>
      </c>
      <c r="Y84" s="4" t="s">
        <v>287</v>
      </c>
      <c r="Z84" s="6"/>
      <c r="AA84" s="6"/>
    </row>
    <row r="85">
      <c r="A85" s="7" t="s">
        <v>288</v>
      </c>
      <c r="B85" s="7" t="s">
        <v>26</v>
      </c>
      <c r="C85" s="7" t="s">
        <v>289</v>
      </c>
      <c r="D85" s="8" t="s">
        <v>290</v>
      </c>
      <c r="E85" s="7" t="s">
        <v>29</v>
      </c>
      <c r="F85" s="7" t="s">
        <v>26</v>
      </c>
      <c r="G85" s="7" t="s">
        <v>26</v>
      </c>
      <c r="H85" s="7">
        <v>75.0</v>
      </c>
      <c r="I85" s="7">
        <v>10.0</v>
      </c>
      <c r="J85" s="7" t="s">
        <v>34</v>
      </c>
      <c r="K85" s="9">
        <f t="shared" si="1"/>
        <v>42.85714286</v>
      </c>
      <c r="L85" s="7" t="s">
        <v>26</v>
      </c>
      <c r="M85" s="7" t="s">
        <v>26</v>
      </c>
      <c r="N85" s="7">
        <v>10.0</v>
      </c>
      <c r="O85" s="7" t="s">
        <v>26</v>
      </c>
      <c r="P85" s="7" t="s">
        <v>26</v>
      </c>
      <c r="Q85" s="7" t="s">
        <v>26</v>
      </c>
      <c r="R85" s="7" t="s">
        <v>26</v>
      </c>
      <c r="S85" s="7" t="s">
        <v>26</v>
      </c>
      <c r="T85" s="7">
        <v>400.0</v>
      </c>
      <c r="U85" s="7">
        <v>1.75</v>
      </c>
      <c r="V85" s="7" t="s">
        <v>26</v>
      </c>
      <c r="W85" s="9"/>
      <c r="X85" s="9" t="str">
        <f>IFERROR(__xludf.DUMMYFUNCTION("""COMPUTED_VALUE"""),"")</f>
        <v/>
      </c>
      <c r="Y85" s="7" t="s">
        <v>291</v>
      </c>
      <c r="Z85" s="9"/>
      <c r="AA85" s="9"/>
    </row>
    <row r="86">
      <c r="A86" s="4" t="s">
        <v>292</v>
      </c>
      <c r="B86" s="4" t="s">
        <v>26</v>
      </c>
      <c r="C86" s="4" t="s">
        <v>292</v>
      </c>
      <c r="D86" s="5" t="s">
        <v>293</v>
      </c>
      <c r="E86" s="4" t="s">
        <v>80</v>
      </c>
      <c r="F86" s="4" t="s">
        <v>26</v>
      </c>
      <c r="G86" s="4" t="s">
        <v>81</v>
      </c>
      <c r="H86" s="4">
        <v>35.0</v>
      </c>
      <c r="I86" s="4">
        <v>0.0</v>
      </c>
      <c r="J86" s="4" t="s">
        <v>34</v>
      </c>
      <c r="K86" s="6">
        <f t="shared" si="1"/>
        <v>23.33333333</v>
      </c>
      <c r="L86" s="4" t="s">
        <v>26</v>
      </c>
      <c r="M86" s="4" t="s">
        <v>26</v>
      </c>
      <c r="N86" s="4">
        <v>35.0</v>
      </c>
      <c r="O86" s="4" t="s">
        <v>26</v>
      </c>
      <c r="P86" s="4" t="s">
        <v>26</v>
      </c>
      <c r="Q86" s="4" t="s">
        <v>26</v>
      </c>
      <c r="R86" s="4" t="s">
        <v>26</v>
      </c>
      <c r="S86" s="4" t="s">
        <v>26</v>
      </c>
      <c r="T86" s="4">
        <v>120.0</v>
      </c>
      <c r="U86" s="4">
        <v>1.5</v>
      </c>
      <c r="V86" s="4" t="s">
        <v>26</v>
      </c>
      <c r="W86" s="6"/>
      <c r="X86" s="6" t="str">
        <f>IFERROR(__xludf.DUMMYFUNCTION("""COMPUTED_VALUE"""),"D")</f>
        <v>D</v>
      </c>
      <c r="Y86" s="4" t="s">
        <v>189</v>
      </c>
      <c r="Z86" s="6"/>
      <c r="AA86" s="6"/>
    </row>
    <row r="87">
      <c r="A87" s="7" t="s">
        <v>294</v>
      </c>
      <c r="B87" s="7" t="s">
        <v>26</v>
      </c>
      <c r="C87" s="7" t="s">
        <v>295</v>
      </c>
      <c r="D87" s="8" t="s">
        <v>296</v>
      </c>
      <c r="E87" s="7" t="s">
        <v>29</v>
      </c>
      <c r="F87" s="7" t="s">
        <v>26</v>
      </c>
      <c r="G87" s="7" t="s">
        <v>26</v>
      </c>
      <c r="H87" s="7">
        <v>35.0</v>
      </c>
      <c r="I87" s="7">
        <v>0.0</v>
      </c>
      <c r="J87" s="7" t="s">
        <v>46</v>
      </c>
      <c r="K87" s="9">
        <f t="shared" si="1"/>
        <v>26.92307692</v>
      </c>
      <c r="L87" s="7" t="s">
        <v>26</v>
      </c>
      <c r="M87" s="7" t="s">
        <v>26</v>
      </c>
      <c r="N87" s="7">
        <v>5.0</v>
      </c>
      <c r="O87" s="7" t="s">
        <v>26</v>
      </c>
      <c r="P87" s="7" t="s">
        <v>26</v>
      </c>
      <c r="Q87" s="7" t="s">
        <v>26</v>
      </c>
      <c r="R87" s="7" t="s">
        <v>26</v>
      </c>
      <c r="S87" s="7" t="s">
        <v>26</v>
      </c>
      <c r="T87" s="7">
        <v>260.0</v>
      </c>
      <c r="U87" s="7">
        <v>1.3</v>
      </c>
      <c r="V87" s="7" t="s">
        <v>26</v>
      </c>
      <c r="W87" s="9"/>
      <c r="X87" s="9" t="str">
        <f>IFERROR(__xludf.DUMMYFUNCTION("""COMPUTED_VALUE"""),"D")</f>
        <v>D</v>
      </c>
      <c r="Y87" s="7" t="s">
        <v>297</v>
      </c>
      <c r="Z87" s="9"/>
      <c r="AA87" s="9"/>
    </row>
    <row r="88">
      <c r="A88" s="4" t="s">
        <v>298</v>
      </c>
      <c r="B88" s="4" t="s">
        <v>26</v>
      </c>
      <c r="C88" s="4" t="s">
        <v>298</v>
      </c>
      <c r="D88" s="5" t="s">
        <v>151</v>
      </c>
      <c r="E88" s="4" t="s">
        <v>45</v>
      </c>
      <c r="F88" s="4" t="s">
        <v>26</v>
      </c>
      <c r="G88" s="4" t="s">
        <v>26</v>
      </c>
      <c r="H88" s="4">
        <v>60.0</v>
      </c>
      <c r="I88" s="4">
        <v>0.0</v>
      </c>
      <c r="J88" s="4" t="s">
        <v>46</v>
      </c>
      <c r="K88" s="6">
        <f t="shared" si="1"/>
        <v>18.46153846</v>
      </c>
      <c r="L88" s="4" t="s">
        <v>26</v>
      </c>
      <c r="M88" s="4">
        <v>0.1</v>
      </c>
      <c r="N88" s="4">
        <v>25.0</v>
      </c>
      <c r="O88" s="4" t="s">
        <v>26</v>
      </c>
      <c r="P88" s="4" t="s">
        <v>26</v>
      </c>
      <c r="Q88" s="4" t="s">
        <v>26</v>
      </c>
      <c r="R88" s="4" t="s">
        <v>26</v>
      </c>
      <c r="S88" s="4" t="s">
        <v>26</v>
      </c>
      <c r="T88" s="4">
        <v>180.0</v>
      </c>
      <c r="U88" s="4">
        <v>3.25</v>
      </c>
      <c r="V88" s="4" t="s">
        <v>26</v>
      </c>
      <c r="W88" s="6"/>
      <c r="X88" s="6" t="str">
        <f>IFERROR(__xludf.DUMMYFUNCTION("""COMPUTED_VALUE"""),"")</f>
        <v/>
      </c>
      <c r="Y88" s="4" t="s">
        <v>189</v>
      </c>
      <c r="Z88" s="6"/>
      <c r="AA88" s="6"/>
    </row>
    <row r="89">
      <c r="A89" s="7" t="s">
        <v>299</v>
      </c>
      <c r="B89" s="7">
        <v>0.35</v>
      </c>
      <c r="C89" s="7" t="s">
        <v>299</v>
      </c>
      <c r="D89" s="8" t="s">
        <v>300</v>
      </c>
      <c r="E89" s="7" t="s">
        <v>74</v>
      </c>
      <c r="F89" s="7" t="s">
        <v>26</v>
      </c>
      <c r="G89" s="7" t="s">
        <v>101</v>
      </c>
      <c r="H89" s="7">
        <v>50.0</v>
      </c>
      <c r="I89" s="7">
        <v>0.0</v>
      </c>
      <c r="J89" s="7" t="s">
        <v>34</v>
      </c>
      <c r="K89" s="9">
        <f t="shared" si="1"/>
        <v>62.5</v>
      </c>
      <c r="L89" s="7" t="s">
        <v>26</v>
      </c>
      <c r="M89" s="7">
        <v>0.25</v>
      </c>
      <c r="N89" s="7">
        <v>6.0</v>
      </c>
      <c r="O89" s="7">
        <v>30.0</v>
      </c>
      <c r="P89" s="7" t="s">
        <v>26</v>
      </c>
      <c r="Q89" s="7" t="s">
        <v>101</v>
      </c>
      <c r="R89" s="7">
        <v>25.0</v>
      </c>
      <c r="S89" s="7" t="s">
        <v>101</v>
      </c>
      <c r="T89" s="7">
        <v>350.0</v>
      </c>
      <c r="U89" s="7">
        <v>0.8</v>
      </c>
      <c r="V89" s="7">
        <v>1.0</v>
      </c>
      <c r="W89" s="9"/>
      <c r="X89" s="9" t="str">
        <f>IFERROR(__xludf.DUMMYFUNCTION("""COMPUTED_VALUE"""),"B")</f>
        <v>B</v>
      </c>
      <c r="Y89" s="7" t="s">
        <v>189</v>
      </c>
      <c r="Z89" s="9"/>
      <c r="AA89" s="9"/>
    </row>
    <row r="90">
      <c r="A90" s="4" t="s">
        <v>301</v>
      </c>
      <c r="B90" s="4" t="s">
        <v>26</v>
      </c>
      <c r="C90" s="4" t="s">
        <v>301</v>
      </c>
      <c r="D90" s="5" t="s">
        <v>302</v>
      </c>
      <c r="E90" s="4" t="s">
        <v>63</v>
      </c>
      <c r="F90" s="4" t="s">
        <v>26</v>
      </c>
      <c r="G90" s="4" t="s">
        <v>26</v>
      </c>
      <c r="H90" s="4">
        <v>60.0</v>
      </c>
      <c r="I90" s="4" t="s">
        <v>26</v>
      </c>
      <c r="J90" s="4" t="s">
        <v>40</v>
      </c>
      <c r="K90" s="6">
        <f t="shared" si="1"/>
        <v>40</v>
      </c>
      <c r="L90" s="4" t="s">
        <v>26</v>
      </c>
      <c r="M90" s="4" t="s">
        <v>26</v>
      </c>
      <c r="N90" s="4">
        <v>50.0</v>
      </c>
      <c r="O90" s="4" t="s">
        <v>26</v>
      </c>
      <c r="P90" s="4" t="s">
        <v>26</v>
      </c>
      <c r="Q90" s="4" t="s">
        <v>26</v>
      </c>
      <c r="R90" s="4" t="s">
        <v>26</v>
      </c>
      <c r="S90" s="4" t="s">
        <v>26</v>
      </c>
      <c r="T90" s="4">
        <v>450.0</v>
      </c>
      <c r="U90" s="4">
        <v>1.5</v>
      </c>
      <c r="V90" s="4" t="s">
        <v>26</v>
      </c>
      <c r="W90" s="6"/>
      <c r="X90" s="6" t="str">
        <f>IFERROR(__xludf.DUMMYFUNCTION("""COMPUTED_VALUE"""),"A")</f>
        <v>A</v>
      </c>
      <c r="Y90" s="4" t="s">
        <v>41</v>
      </c>
      <c r="Z90" s="6"/>
      <c r="AA90" s="6"/>
    </row>
    <row r="91">
      <c r="A91" s="7" t="s">
        <v>303</v>
      </c>
      <c r="B91" s="7">
        <v>0.45</v>
      </c>
      <c r="C91" s="7" t="s">
        <v>303</v>
      </c>
      <c r="D91" s="8" t="s">
        <v>304</v>
      </c>
      <c r="E91" s="7" t="s">
        <v>74</v>
      </c>
      <c r="F91" s="7">
        <v>25.0</v>
      </c>
      <c r="G91" s="7" t="s">
        <v>101</v>
      </c>
      <c r="H91" s="7">
        <v>55.0</v>
      </c>
      <c r="I91" s="7">
        <v>0.0</v>
      </c>
      <c r="J91" s="7" t="s">
        <v>40</v>
      </c>
      <c r="K91" s="9">
        <f t="shared" si="1"/>
        <v>64.70588235</v>
      </c>
      <c r="L91" s="7">
        <v>101.0</v>
      </c>
      <c r="M91" s="7">
        <v>0.35</v>
      </c>
      <c r="N91" s="7">
        <v>6.0</v>
      </c>
      <c r="O91" s="7">
        <v>30.0</v>
      </c>
      <c r="P91" s="7">
        <v>2.3</v>
      </c>
      <c r="Q91" s="7" t="s">
        <v>101</v>
      </c>
      <c r="R91" s="7">
        <v>30.0</v>
      </c>
      <c r="S91" s="7" t="s">
        <v>101</v>
      </c>
      <c r="T91" s="7">
        <v>410.0</v>
      </c>
      <c r="U91" s="7">
        <v>0.85</v>
      </c>
      <c r="V91" s="7">
        <v>1.0</v>
      </c>
      <c r="W91" s="9"/>
      <c r="X91" s="9" t="str">
        <f>IFERROR(__xludf.DUMMYFUNCTION("""COMPUTED_VALUE"""),"S")</f>
        <v>S</v>
      </c>
      <c r="Y91" s="7" t="s">
        <v>41</v>
      </c>
      <c r="Z91" s="9"/>
      <c r="AA91" s="9"/>
    </row>
    <row r="92">
      <c r="A92" s="4" t="s">
        <v>305</v>
      </c>
      <c r="B92" s="4" t="s">
        <v>26</v>
      </c>
      <c r="C92" s="4" t="s">
        <v>305</v>
      </c>
      <c r="D92" s="5" t="s">
        <v>306</v>
      </c>
      <c r="E92" s="4" t="s">
        <v>63</v>
      </c>
      <c r="F92" s="4" t="s">
        <v>26</v>
      </c>
      <c r="G92" s="4" t="s">
        <v>26</v>
      </c>
      <c r="H92" s="4">
        <v>45.0</v>
      </c>
      <c r="I92" s="4" t="s">
        <v>26</v>
      </c>
      <c r="J92" s="4" t="s">
        <v>235</v>
      </c>
      <c r="K92" s="6">
        <f t="shared" si="1"/>
        <v>22.5</v>
      </c>
      <c r="L92" s="4" t="s">
        <v>26</v>
      </c>
      <c r="M92" s="4" t="s">
        <v>26</v>
      </c>
      <c r="N92" s="4">
        <v>50.0</v>
      </c>
      <c r="O92" s="4" t="s">
        <v>26</v>
      </c>
      <c r="P92" s="4" t="s">
        <v>26</v>
      </c>
      <c r="Q92" s="4" t="s">
        <v>26</v>
      </c>
      <c r="R92" s="4" t="s">
        <v>26</v>
      </c>
      <c r="S92" s="4" t="s">
        <v>26</v>
      </c>
      <c r="T92" s="4">
        <v>450.0</v>
      </c>
      <c r="U92" s="4">
        <v>2.0</v>
      </c>
      <c r="V92" s="4" t="s">
        <v>26</v>
      </c>
      <c r="W92" s="4">
        <v>4.0</v>
      </c>
      <c r="X92" s="6" t="str">
        <f>IFERROR(__xludf.DUMMYFUNCTION("""COMPUTED_VALUE"""),"S")</f>
        <v>S</v>
      </c>
      <c r="Y92" s="4" t="s">
        <v>189</v>
      </c>
      <c r="Z92" s="6"/>
      <c r="AA92" s="6"/>
    </row>
    <row r="93">
      <c r="A93" s="7" t="s">
        <v>307</v>
      </c>
      <c r="B93" s="7" t="s">
        <v>26</v>
      </c>
      <c r="C93" s="7" t="s">
        <v>308</v>
      </c>
      <c r="D93" s="8" t="s">
        <v>309</v>
      </c>
      <c r="E93" s="7" t="s">
        <v>80</v>
      </c>
      <c r="F93" s="7" t="s">
        <v>26</v>
      </c>
      <c r="G93" s="7" t="s">
        <v>81</v>
      </c>
      <c r="H93" s="7">
        <v>45.0</v>
      </c>
      <c r="I93" s="7">
        <v>0.0</v>
      </c>
      <c r="J93" s="7" t="s">
        <v>40</v>
      </c>
      <c r="K93" s="9">
        <f t="shared" si="1"/>
        <v>34.61538462</v>
      </c>
      <c r="L93" s="7" t="s">
        <v>26</v>
      </c>
      <c r="M93" s="7" t="s">
        <v>26</v>
      </c>
      <c r="N93" s="7">
        <v>200.0</v>
      </c>
      <c r="O93" s="7" t="s">
        <v>26</v>
      </c>
      <c r="P93" s="7" t="s">
        <v>26</v>
      </c>
      <c r="Q93" s="7" t="s">
        <v>26</v>
      </c>
      <c r="R93" s="7" t="s">
        <v>26</v>
      </c>
      <c r="S93" s="7" t="s">
        <v>26</v>
      </c>
      <c r="T93" s="7">
        <v>300.0</v>
      </c>
      <c r="U93" s="7">
        <v>1.3</v>
      </c>
      <c r="V93" s="7" t="s">
        <v>26</v>
      </c>
      <c r="W93" s="9"/>
      <c r="X93" s="9" t="str">
        <f>IFERROR(__xludf.DUMMYFUNCTION("""COMPUTED_VALUE"""),"B")</f>
        <v>B</v>
      </c>
      <c r="Y93" s="7" t="s">
        <v>102</v>
      </c>
      <c r="Z93" s="9"/>
      <c r="AA93" s="9"/>
    </row>
    <row r="94">
      <c r="A94" s="4" t="s">
        <v>310</v>
      </c>
      <c r="B94" s="4" t="s">
        <v>26</v>
      </c>
      <c r="C94" s="4" t="s">
        <v>311</v>
      </c>
      <c r="D94" s="5" t="s">
        <v>312</v>
      </c>
      <c r="E94" s="4" t="s">
        <v>45</v>
      </c>
      <c r="F94" s="4" t="s">
        <v>26</v>
      </c>
      <c r="G94" s="4" t="s">
        <v>75</v>
      </c>
      <c r="H94" s="4">
        <v>20.0</v>
      </c>
      <c r="I94" s="4">
        <v>0.0</v>
      </c>
      <c r="J94" s="4" t="s">
        <v>90</v>
      </c>
      <c r="K94" s="6">
        <f t="shared" si="1"/>
        <v>11.42857143</v>
      </c>
      <c r="L94" s="4" t="s">
        <v>26</v>
      </c>
      <c r="M94" s="4" t="s">
        <v>26</v>
      </c>
      <c r="N94" s="4">
        <v>20.0</v>
      </c>
      <c r="O94" s="4" t="s">
        <v>26</v>
      </c>
      <c r="P94" s="4" t="s">
        <v>26</v>
      </c>
      <c r="Q94" s="4" t="s">
        <v>7</v>
      </c>
      <c r="R94" s="4" t="s">
        <v>26</v>
      </c>
      <c r="S94" s="4" t="s">
        <v>75</v>
      </c>
      <c r="T94" s="4">
        <v>80.0</v>
      </c>
      <c r="U94" s="4">
        <v>1.75</v>
      </c>
      <c r="V94" s="4" t="s">
        <v>26</v>
      </c>
      <c r="W94" s="6"/>
      <c r="X94" s="6" t="str">
        <f>IFERROR(__xludf.DUMMYFUNCTION("""COMPUTED_VALUE"""),"")</f>
        <v/>
      </c>
      <c r="Y94" s="4" t="s">
        <v>149</v>
      </c>
      <c r="Z94" s="6"/>
      <c r="AA94" s="6"/>
    </row>
    <row r="95">
      <c r="A95" s="7" t="s">
        <v>313</v>
      </c>
      <c r="B95" s="7" t="s">
        <v>26</v>
      </c>
      <c r="C95" s="7" t="s">
        <v>314</v>
      </c>
      <c r="D95" s="8" t="s">
        <v>315</v>
      </c>
      <c r="E95" s="7" t="s">
        <v>29</v>
      </c>
      <c r="F95" s="7" t="s">
        <v>26</v>
      </c>
      <c r="G95" s="7" t="s">
        <v>26</v>
      </c>
      <c r="H95" s="7">
        <v>25.0</v>
      </c>
      <c r="I95" s="7">
        <v>0.0</v>
      </c>
      <c r="J95" s="7" t="s">
        <v>90</v>
      </c>
      <c r="K95" s="9">
        <f t="shared" si="1"/>
        <v>22.72727273</v>
      </c>
      <c r="L95" s="7" t="s">
        <v>26</v>
      </c>
      <c r="M95" s="7" t="s">
        <v>26</v>
      </c>
      <c r="N95" s="7">
        <v>6.0</v>
      </c>
      <c r="O95" s="7" t="s">
        <v>26</v>
      </c>
      <c r="P95" s="7" t="s">
        <v>26</v>
      </c>
      <c r="Q95" s="7" t="s">
        <v>26</v>
      </c>
      <c r="R95" s="7" t="s">
        <v>26</v>
      </c>
      <c r="S95" s="7" t="s">
        <v>26</v>
      </c>
      <c r="T95" s="7">
        <v>180.0</v>
      </c>
      <c r="U95" s="7">
        <v>1.1</v>
      </c>
      <c r="V95" s="7" t="s">
        <v>26</v>
      </c>
      <c r="W95" s="9"/>
      <c r="X95" s="9" t="str">
        <f>IFERROR(__xludf.DUMMYFUNCTION("""COMPUTED_VALUE"""),"")</f>
        <v/>
      </c>
      <c r="Y95" s="7" t="s">
        <v>41</v>
      </c>
      <c r="Z95" s="9"/>
      <c r="AA95" s="9"/>
    </row>
    <row r="96">
      <c r="A96" s="4" t="s">
        <v>116</v>
      </c>
      <c r="B96" s="4" t="s">
        <v>26</v>
      </c>
      <c r="C96" s="4" t="s">
        <v>116</v>
      </c>
      <c r="D96" s="5" t="s">
        <v>316</v>
      </c>
      <c r="E96" s="4" t="s">
        <v>49</v>
      </c>
      <c r="F96" s="4" t="s">
        <v>26</v>
      </c>
      <c r="G96" s="4" t="s">
        <v>109</v>
      </c>
      <c r="H96" s="4">
        <v>37.0</v>
      </c>
      <c r="I96" s="4">
        <v>10.0</v>
      </c>
      <c r="J96" s="4" t="s">
        <v>40</v>
      </c>
      <c r="K96" s="6">
        <f t="shared" si="1"/>
        <v>6.379310345</v>
      </c>
      <c r="L96" s="4" t="s">
        <v>26</v>
      </c>
      <c r="M96" s="4">
        <v>0.04</v>
      </c>
      <c r="N96" s="4">
        <v>70.0</v>
      </c>
      <c r="O96" s="4" t="s">
        <v>26</v>
      </c>
      <c r="P96" s="4" t="s">
        <v>26</v>
      </c>
      <c r="Q96" s="4" t="s">
        <v>109</v>
      </c>
      <c r="R96" s="4" t="s">
        <v>26</v>
      </c>
      <c r="S96" s="4" t="s">
        <v>109</v>
      </c>
      <c r="T96" s="4">
        <v>200.0</v>
      </c>
      <c r="U96" s="4">
        <v>5.8</v>
      </c>
      <c r="V96" s="4" t="s">
        <v>26</v>
      </c>
      <c r="W96" s="6"/>
      <c r="X96" s="6" t="str">
        <f>IFERROR(__xludf.DUMMYFUNCTION("""COMPUTED_VALUE"""),"S")</f>
        <v>S</v>
      </c>
      <c r="Y96" s="4" t="s">
        <v>41</v>
      </c>
      <c r="Z96" s="6"/>
      <c r="AA96" s="6"/>
    </row>
    <row r="97">
      <c r="A97" s="7" t="s">
        <v>317</v>
      </c>
      <c r="B97" s="7" t="s">
        <v>26</v>
      </c>
      <c r="C97" s="7" t="s">
        <v>318</v>
      </c>
      <c r="D97" s="8" t="s">
        <v>319</v>
      </c>
      <c r="E97" s="7" t="s">
        <v>29</v>
      </c>
      <c r="F97" s="7" t="s">
        <v>26</v>
      </c>
      <c r="G97" s="7" t="s">
        <v>26</v>
      </c>
      <c r="H97" s="7">
        <v>300.0</v>
      </c>
      <c r="I97" s="7">
        <v>10.0</v>
      </c>
      <c r="J97" s="7" t="s">
        <v>34</v>
      </c>
      <c r="K97" s="9">
        <f t="shared" si="1"/>
        <v>171.4285714</v>
      </c>
      <c r="L97" s="7">
        <v>1.4</v>
      </c>
      <c r="M97" s="7" t="s">
        <v>26</v>
      </c>
      <c r="N97" s="7">
        <v>15.0</v>
      </c>
      <c r="O97" s="7" t="s">
        <v>26</v>
      </c>
      <c r="P97" s="7" t="s">
        <v>26</v>
      </c>
      <c r="Q97" s="7" t="s">
        <v>26</v>
      </c>
      <c r="R97" s="7" t="s">
        <v>26</v>
      </c>
      <c r="S97" s="7" t="s">
        <v>26</v>
      </c>
      <c r="T97" s="7">
        <v>500000.0</v>
      </c>
      <c r="U97" s="7">
        <v>1.75</v>
      </c>
      <c r="V97" s="7" t="s">
        <v>26</v>
      </c>
      <c r="W97" s="9"/>
      <c r="X97" s="9" t="str">
        <f>IFERROR(__xludf.DUMMYFUNCTION("""COMPUTED_VALUE"""),"F")</f>
        <v>F</v>
      </c>
      <c r="Y97" s="7" t="s">
        <v>35</v>
      </c>
      <c r="Z97" s="9"/>
      <c r="AA97" s="9"/>
    </row>
    <row r="98">
      <c r="A98" s="4" t="s">
        <v>320</v>
      </c>
      <c r="B98" s="4">
        <v>0.2</v>
      </c>
      <c r="C98" s="4" t="s">
        <v>320</v>
      </c>
      <c r="D98" s="5" t="s">
        <v>321</v>
      </c>
      <c r="E98" s="4" t="s">
        <v>45</v>
      </c>
      <c r="F98" s="4" t="s">
        <v>26</v>
      </c>
      <c r="G98" s="4" t="s">
        <v>26</v>
      </c>
      <c r="H98" s="4">
        <v>175.0</v>
      </c>
      <c r="I98" s="4">
        <v>0.0</v>
      </c>
      <c r="J98" s="4" t="s">
        <v>34</v>
      </c>
      <c r="K98" s="6">
        <f t="shared" si="1"/>
        <v>29.16666667</v>
      </c>
      <c r="L98" s="4">
        <v>1.2</v>
      </c>
      <c r="M98" s="4" t="s">
        <v>26</v>
      </c>
      <c r="N98" s="4">
        <v>80.0</v>
      </c>
      <c r="O98" s="4" t="s">
        <v>26</v>
      </c>
      <c r="P98" s="4" t="s">
        <v>26</v>
      </c>
      <c r="Q98" s="4" t="s">
        <v>26</v>
      </c>
      <c r="R98" s="4" t="s">
        <v>26</v>
      </c>
      <c r="S98" s="4" t="s">
        <v>26</v>
      </c>
      <c r="T98" s="4">
        <v>90.0</v>
      </c>
      <c r="U98" s="4">
        <v>6.0</v>
      </c>
      <c r="V98" s="4" t="s">
        <v>26</v>
      </c>
      <c r="W98" s="6"/>
      <c r="X98" s="6" t="str">
        <f>IFERROR(__xludf.DUMMYFUNCTION("""COMPUTED_VALUE"""),"F")</f>
        <v>F</v>
      </c>
      <c r="Y98" s="4" t="s">
        <v>41</v>
      </c>
      <c r="Z98" s="6"/>
      <c r="AA98" s="6"/>
    </row>
    <row r="99">
      <c r="A99" s="7" t="s">
        <v>322</v>
      </c>
      <c r="B99" s="7" t="s">
        <v>26</v>
      </c>
      <c r="C99" s="7" t="s">
        <v>322</v>
      </c>
      <c r="D99" s="8" t="s">
        <v>323</v>
      </c>
      <c r="E99" s="7" t="s">
        <v>39</v>
      </c>
      <c r="F99" s="7" t="s">
        <v>26</v>
      </c>
      <c r="G99" s="7" t="s">
        <v>26</v>
      </c>
      <c r="H99" s="7">
        <v>25.0</v>
      </c>
      <c r="I99" s="7">
        <v>50.0</v>
      </c>
      <c r="J99" s="7" t="s">
        <v>46</v>
      </c>
      <c r="K99" s="9">
        <f t="shared" si="1"/>
        <v>12.5</v>
      </c>
      <c r="L99" s="7">
        <v>1.5</v>
      </c>
      <c r="M99" s="7" t="s">
        <v>26</v>
      </c>
      <c r="N99" s="7">
        <v>6.0</v>
      </c>
      <c r="O99" s="7" t="s">
        <v>26</v>
      </c>
      <c r="P99" s="7" t="s">
        <v>26</v>
      </c>
      <c r="Q99" s="7" t="s">
        <v>26</v>
      </c>
      <c r="R99" s="7" t="s">
        <v>26</v>
      </c>
      <c r="S99" s="7" t="s">
        <v>26</v>
      </c>
      <c r="T99" s="7">
        <v>1150.0</v>
      </c>
      <c r="U99" s="7">
        <v>2.0</v>
      </c>
      <c r="V99" s="7" t="s">
        <v>26</v>
      </c>
      <c r="W99" s="9"/>
      <c r="X99" s="9" t="str">
        <f>IFERROR(__xludf.DUMMYFUNCTION("""COMPUTED_VALUE"""),"D")</f>
        <v>D</v>
      </c>
      <c r="Y99" s="7" t="s">
        <v>91</v>
      </c>
      <c r="Z99" s="9"/>
      <c r="AA99" s="9"/>
    </row>
    <row r="100">
      <c r="A100" s="4" t="s">
        <v>324</v>
      </c>
      <c r="B100" s="4" t="s">
        <v>26</v>
      </c>
      <c r="C100" s="4" t="s">
        <v>325</v>
      </c>
      <c r="D100" s="5" t="s">
        <v>326</v>
      </c>
      <c r="E100" s="4" t="s">
        <v>45</v>
      </c>
      <c r="F100" s="4" t="s">
        <v>26</v>
      </c>
      <c r="G100" s="4" t="s">
        <v>26</v>
      </c>
      <c r="H100" s="4">
        <v>12.0</v>
      </c>
      <c r="I100" s="4">
        <v>0.0</v>
      </c>
      <c r="J100" s="4" t="s">
        <v>58</v>
      </c>
      <c r="K100" s="6">
        <f t="shared" si="1"/>
        <v>8</v>
      </c>
      <c r="L100" s="4" t="s">
        <v>26</v>
      </c>
      <c r="M100" s="4" t="s">
        <v>26</v>
      </c>
      <c r="N100" s="4">
        <v>25.0</v>
      </c>
      <c r="O100" s="4" t="s">
        <v>26</v>
      </c>
      <c r="P100" s="4" t="s">
        <v>26</v>
      </c>
      <c r="Q100" s="4" t="s">
        <v>26</v>
      </c>
      <c r="R100" s="4" t="s">
        <v>26</v>
      </c>
      <c r="S100" s="4" t="s">
        <v>26</v>
      </c>
      <c r="T100" s="4">
        <v>60.0</v>
      </c>
      <c r="U100" s="4">
        <v>1.5</v>
      </c>
      <c r="V100" s="4" t="s">
        <v>26</v>
      </c>
      <c r="W100" s="6"/>
      <c r="X100" s="6" t="str">
        <f>IFERROR(__xludf.DUMMYFUNCTION("""COMPUTED_VALUE"""),"")</f>
        <v/>
      </c>
      <c r="Y100" s="4" t="s">
        <v>41</v>
      </c>
      <c r="Z100" s="6"/>
      <c r="AA100" s="6"/>
    </row>
    <row r="101">
      <c r="A101" s="7" t="s">
        <v>327</v>
      </c>
      <c r="B101" s="7" t="s">
        <v>26</v>
      </c>
      <c r="C101" s="7" t="s">
        <v>328</v>
      </c>
      <c r="D101" s="8" t="s">
        <v>329</v>
      </c>
      <c r="E101" s="7" t="s">
        <v>63</v>
      </c>
      <c r="F101" s="7" t="s">
        <v>26</v>
      </c>
      <c r="G101" s="7" t="s">
        <v>75</v>
      </c>
      <c r="H101" s="7">
        <v>22.0</v>
      </c>
      <c r="I101" s="7">
        <v>0.0</v>
      </c>
      <c r="J101" s="7" t="s">
        <v>90</v>
      </c>
      <c r="K101" s="9">
        <f t="shared" si="1"/>
        <v>12.94117647</v>
      </c>
      <c r="L101" s="7" t="s">
        <v>26</v>
      </c>
      <c r="M101" s="7" t="s">
        <v>26</v>
      </c>
      <c r="N101" s="7">
        <v>20.0</v>
      </c>
      <c r="O101" s="7" t="s">
        <v>26</v>
      </c>
      <c r="P101" s="7" t="s">
        <v>26</v>
      </c>
      <c r="Q101" s="7" t="s">
        <v>7</v>
      </c>
      <c r="R101" s="7" t="s">
        <v>26</v>
      </c>
      <c r="S101" s="7" t="s">
        <v>75</v>
      </c>
      <c r="T101" s="7">
        <v>100.0</v>
      </c>
      <c r="U101" s="7">
        <v>1.7</v>
      </c>
      <c r="V101" s="7" t="s">
        <v>26</v>
      </c>
      <c r="W101" s="9"/>
      <c r="X101" s="9" t="str">
        <f>IFERROR(__xludf.DUMMYFUNCTION("""COMPUTED_VALUE"""),"")</f>
        <v/>
      </c>
      <c r="Y101" s="7" t="s">
        <v>41</v>
      </c>
      <c r="Z101" s="9"/>
      <c r="AA101" s="9"/>
    </row>
    <row r="102">
      <c r="A102" s="4" t="s">
        <v>330</v>
      </c>
      <c r="B102" s="4">
        <v>0.015</v>
      </c>
      <c r="C102" s="4" t="s">
        <v>331</v>
      </c>
      <c r="D102" s="5" t="s">
        <v>332</v>
      </c>
      <c r="E102" s="4" t="s">
        <v>39</v>
      </c>
      <c r="F102" s="4" t="s">
        <v>26</v>
      </c>
      <c r="G102" s="4" t="s">
        <v>101</v>
      </c>
      <c r="H102" s="4">
        <v>70.0</v>
      </c>
      <c r="I102" s="4">
        <v>50.0</v>
      </c>
      <c r="J102" s="4" t="s">
        <v>34</v>
      </c>
      <c r="K102" s="6">
        <f t="shared" si="1"/>
        <v>46.66666667</v>
      </c>
      <c r="L102" s="4">
        <v>101.0</v>
      </c>
      <c r="M102" s="4">
        <v>0.01</v>
      </c>
      <c r="N102" s="4">
        <v>15.0</v>
      </c>
      <c r="O102" s="4" t="s">
        <v>26</v>
      </c>
      <c r="P102" s="4">
        <v>1.5</v>
      </c>
      <c r="Q102" s="4" t="s">
        <v>101</v>
      </c>
      <c r="R102" s="4">
        <v>5.0</v>
      </c>
      <c r="S102" s="4" t="s">
        <v>101</v>
      </c>
      <c r="T102" s="4">
        <v>1150.0</v>
      </c>
      <c r="U102" s="4">
        <v>1.5</v>
      </c>
      <c r="V102" s="4" t="s">
        <v>26</v>
      </c>
      <c r="W102" s="6"/>
      <c r="X102" s="6" t="str">
        <f>IFERROR(__xludf.DUMMYFUNCTION("""COMPUTED_VALUE"""),"C")</f>
        <v>C</v>
      </c>
      <c r="Y102" s="4" t="s">
        <v>41</v>
      </c>
      <c r="Z102" s="6"/>
      <c r="AA102" s="6"/>
    </row>
    <row r="103">
      <c r="A103" s="7" t="s">
        <v>333</v>
      </c>
      <c r="B103" s="7" t="s">
        <v>26</v>
      </c>
      <c r="C103" s="7" t="s">
        <v>334</v>
      </c>
      <c r="D103" s="8" t="s">
        <v>335</v>
      </c>
      <c r="E103" s="7" t="s">
        <v>39</v>
      </c>
      <c r="F103" s="7" t="s">
        <v>26</v>
      </c>
      <c r="G103" s="7" t="s">
        <v>26</v>
      </c>
      <c r="H103" s="7">
        <v>150.0</v>
      </c>
      <c r="I103" s="7">
        <v>50.0</v>
      </c>
      <c r="J103" s="7" t="s">
        <v>34</v>
      </c>
      <c r="K103" s="9">
        <f t="shared" si="1"/>
        <v>60</v>
      </c>
      <c r="L103" s="7">
        <v>1.5</v>
      </c>
      <c r="M103" s="7" t="s">
        <v>26</v>
      </c>
      <c r="N103" s="7">
        <v>15.0</v>
      </c>
      <c r="O103" s="7" t="s">
        <v>26</v>
      </c>
      <c r="P103" s="7" t="s">
        <v>26</v>
      </c>
      <c r="Q103" s="7" t="s">
        <v>26</v>
      </c>
      <c r="R103" s="7" t="s">
        <v>26</v>
      </c>
      <c r="S103" s="7" t="s">
        <v>26</v>
      </c>
      <c r="T103" s="7">
        <v>4000.0</v>
      </c>
      <c r="U103" s="7">
        <v>2.5</v>
      </c>
      <c r="V103" s="7" t="s">
        <v>26</v>
      </c>
      <c r="W103" s="9"/>
      <c r="X103" s="9" t="str">
        <f>IFERROR(__xludf.DUMMYFUNCTION("""COMPUTED_VALUE"""),"F")</f>
        <v>F</v>
      </c>
      <c r="Y103" s="7" t="s">
        <v>149</v>
      </c>
      <c r="Z103" s="9"/>
      <c r="AA103" s="9"/>
    </row>
    <row r="104">
      <c r="A104" s="4" t="s">
        <v>336</v>
      </c>
      <c r="B104" s="4" t="s">
        <v>26</v>
      </c>
      <c r="C104" s="4" t="s">
        <v>336</v>
      </c>
      <c r="D104" s="5" t="s">
        <v>337</v>
      </c>
      <c r="E104" s="4" t="s">
        <v>29</v>
      </c>
      <c r="F104" s="4" t="s">
        <v>26</v>
      </c>
      <c r="G104" s="4" t="s">
        <v>75</v>
      </c>
      <c r="H104" s="4">
        <v>8.0</v>
      </c>
      <c r="I104" s="4">
        <v>0.0</v>
      </c>
      <c r="J104" s="4" t="s">
        <v>58</v>
      </c>
      <c r="K104" s="6">
        <f t="shared" si="1"/>
        <v>10</v>
      </c>
      <c r="L104" s="4" t="s">
        <v>26</v>
      </c>
      <c r="M104" s="4" t="s">
        <v>26</v>
      </c>
      <c r="N104" s="4">
        <v>5.0</v>
      </c>
      <c r="O104" s="4" t="s">
        <v>26</v>
      </c>
      <c r="P104" s="4" t="s">
        <v>26</v>
      </c>
      <c r="Q104" s="4" t="s">
        <v>7</v>
      </c>
      <c r="R104" s="4" t="s">
        <v>26</v>
      </c>
      <c r="S104" s="4" t="s">
        <v>75</v>
      </c>
      <c r="T104" s="4">
        <v>130.0</v>
      </c>
      <c r="U104" s="4">
        <v>0.8</v>
      </c>
      <c r="V104" s="4" t="s">
        <v>26</v>
      </c>
      <c r="W104" s="6"/>
      <c r="X104" s="6" t="str">
        <f>IFERROR(__xludf.DUMMYFUNCTION("""COMPUTED_VALUE"""),"")</f>
        <v/>
      </c>
      <c r="Y104" s="4" t="s">
        <v>338</v>
      </c>
      <c r="Z104" s="6"/>
      <c r="AA104" s="6"/>
    </row>
    <row r="105">
      <c r="A105" s="7" t="s">
        <v>339</v>
      </c>
      <c r="B105" s="7" t="s">
        <v>26</v>
      </c>
      <c r="C105" s="7" t="s">
        <v>339</v>
      </c>
      <c r="D105" s="8" t="s">
        <v>167</v>
      </c>
      <c r="E105" s="7" t="s">
        <v>29</v>
      </c>
      <c r="F105" s="7" t="s">
        <v>26</v>
      </c>
      <c r="G105" s="7" t="s">
        <v>26</v>
      </c>
      <c r="H105" s="7">
        <v>5.0</v>
      </c>
      <c r="I105" s="7">
        <v>0.0</v>
      </c>
      <c r="J105" s="7" t="s">
        <v>214</v>
      </c>
      <c r="K105" s="9">
        <f t="shared" si="1"/>
        <v>5</v>
      </c>
      <c r="L105" s="7" t="s">
        <v>26</v>
      </c>
      <c r="M105" s="7" t="s">
        <v>26</v>
      </c>
      <c r="N105" s="7">
        <v>6.0</v>
      </c>
      <c r="O105" s="7" t="s">
        <v>26</v>
      </c>
      <c r="P105" s="7" t="s">
        <v>26</v>
      </c>
      <c r="Q105" s="7" t="s">
        <v>26</v>
      </c>
      <c r="R105" s="7" t="s">
        <v>26</v>
      </c>
      <c r="S105" s="7" t="s">
        <v>26</v>
      </c>
      <c r="T105" s="7">
        <v>70.0</v>
      </c>
      <c r="U105" s="7">
        <v>1.0</v>
      </c>
      <c r="V105" s="7" t="s">
        <v>26</v>
      </c>
      <c r="W105" s="9"/>
      <c r="X105" s="9" t="str">
        <f>IFERROR(__xludf.DUMMYFUNCTION("""COMPUTED_VALUE"""),"F")</f>
        <v>F</v>
      </c>
      <c r="Y105" s="7" t="s">
        <v>102</v>
      </c>
      <c r="Z105" s="9"/>
      <c r="AA105" s="9"/>
    </row>
    <row r="106">
      <c r="A106" s="4" t="s">
        <v>340</v>
      </c>
      <c r="B106" s="4" t="s">
        <v>26</v>
      </c>
      <c r="C106" s="4" t="s">
        <v>340</v>
      </c>
      <c r="D106" s="5" t="s">
        <v>341</v>
      </c>
      <c r="E106" s="4" t="s">
        <v>86</v>
      </c>
      <c r="F106" s="4" t="s">
        <v>26</v>
      </c>
      <c r="G106" s="4" t="s">
        <v>26</v>
      </c>
      <c r="H106" s="4">
        <v>0.0</v>
      </c>
      <c r="I106" s="4">
        <v>0.0</v>
      </c>
      <c r="J106" s="4" t="s">
        <v>34</v>
      </c>
      <c r="K106" s="6" t="str">
        <f t="shared" si="1"/>
        <v>N/A</v>
      </c>
      <c r="L106" s="4" t="s">
        <v>26</v>
      </c>
      <c r="M106" s="4" t="s">
        <v>26</v>
      </c>
      <c r="N106" s="4">
        <v>10.0</v>
      </c>
      <c r="O106" s="4" t="s">
        <v>26</v>
      </c>
      <c r="P106" s="4" t="s">
        <v>26</v>
      </c>
      <c r="Q106" s="4" t="s">
        <v>26</v>
      </c>
      <c r="R106" s="4" t="s">
        <v>26</v>
      </c>
      <c r="S106" s="4" t="s">
        <v>26</v>
      </c>
      <c r="T106" s="4">
        <v>150.0</v>
      </c>
      <c r="U106" s="4">
        <v>3.25</v>
      </c>
      <c r="V106" s="4" t="s">
        <v>26</v>
      </c>
      <c r="W106" s="6"/>
      <c r="X106" s="6" t="str">
        <f>IFERROR(__xludf.DUMMYFUNCTION("""COMPUTED_VALUE"""),"")</f>
        <v/>
      </c>
      <c r="Y106" s="4" t="s">
        <v>41</v>
      </c>
      <c r="Z106" s="6"/>
      <c r="AA106" s="6"/>
    </row>
    <row r="107">
      <c r="A107" s="7" t="s">
        <v>342</v>
      </c>
      <c r="B107" s="7">
        <v>0.45</v>
      </c>
      <c r="C107" s="7" t="s">
        <v>343</v>
      </c>
      <c r="D107" s="8" t="s">
        <v>344</v>
      </c>
      <c r="E107" s="7" t="s">
        <v>74</v>
      </c>
      <c r="F107" s="7">
        <v>25.0</v>
      </c>
      <c r="G107" s="7" t="s">
        <v>101</v>
      </c>
      <c r="H107" s="7">
        <v>50.0</v>
      </c>
      <c r="I107" s="7">
        <v>0.0</v>
      </c>
      <c r="J107" s="7" t="s">
        <v>40</v>
      </c>
      <c r="K107" s="9">
        <f t="shared" si="1"/>
        <v>66.66666667</v>
      </c>
      <c r="L107" s="7">
        <v>101.0</v>
      </c>
      <c r="M107" s="7">
        <v>0.35</v>
      </c>
      <c r="N107" s="7">
        <v>6.0</v>
      </c>
      <c r="O107" s="7">
        <v>30.0</v>
      </c>
      <c r="P107" s="7">
        <v>2.3</v>
      </c>
      <c r="Q107" s="7" t="s">
        <v>101</v>
      </c>
      <c r="R107" s="7">
        <v>35.0</v>
      </c>
      <c r="S107" s="7" t="s">
        <v>101</v>
      </c>
      <c r="T107" s="7">
        <v>400.0</v>
      </c>
      <c r="U107" s="7">
        <v>0.75</v>
      </c>
      <c r="V107" s="7">
        <v>1.0</v>
      </c>
      <c r="W107" s="9"/>
      <c r="X107" s="9" t="str">
        <f>IFERROR(__xludf.DUMMYFUNCTION("""COMPUTED_VALUE"""),"S")</f>
        <v>S</v>
      </c>
      <c r="Y107" s="7" t="s">
        <v>41</v>
      </c>
      <c r="Z107" s="9"/>
      <c r="AA107" s="9"/>
    </row>
    <row r="108">
      <c r="A108" s="4" t="s">
        <v>345</v>
      </c>
      <c r="B108" s="4" t="s">
        <v>26</v>
      </c>
      <c r="C108" s="4" t="s">
        <v>346</v>
      </c>
      <c r="D108" s="5" t="s">
        <v>347</v>
      </c>
      <c r="E108" s="4" t="s">
        <v>29</v>
      </c>
      <c r="F108" s="4" t="s">
        <v>26</v>
      </c>
      <c r="G108" s="4" t="s">
        <v>26</v>
      </c>
      <c r="H108" s="4">
        <v>50.0</v>
      </c>
      <c r="I108" s="4">
        <v>0.0</v>
      </c>
      <c r="J108" s="4" t="s">
        <v>46</v>
      </c>
      <c r="K108" s="6">
        <f t="shared" si="1"/>
        <v>33.33333333</v>
      </c>
      <c r="L108" s="4" t="s">
        <v>26</v>
      </c>
      <c r="M108" s="4" t="s">
        <v>26</v>
      </c>
      <c r="N108" s="4">
        <v>10.0</v>
      </c>
      <c r="O108" s="4" t="s">
        <v>26</v>
      </c>
      <c r="P108" s="4" t="s">
        <v>26</v>
      </c>
      <c r="Q108" s="4" t="s">
        <v>26</v>
      </c>
      <c r="R108" s="4" t="s">
        <v>26</v>
      </c>
      <c r="S108" s="4" t="s">
        <v>26</v>
      </c>
      <c r="T108" s="4">
        <v>500.0</v>
      </c>
      <c r="U108" s="4">
        <v>1.5</v>
      </c>
      <c r="V108" s="4" t="s">
        <v>26</v>
      </c>
      <c r="W108" s="6"/>
      <c r="X108" s="6" t="str">
        <f>IFERROR(__xludf.DUMMYFUNCTION("""COMPUTED_VALUE"""),"")</f>
        <v/>
      </c>
      <c r="Y108" s="4" t="s">
        <v>41</v>
      </c>
      <c r="Z108" s="6"/>
      <c r="AA108" s="6"/>
    </row>
    <row r="109">
      <c r="A109" s="7" t="s">
        <v>348</v>
      </c>
      <c r="B109" s="7">
        <v>0.2</v>
      </c>
      <c r="C109" s="7" t="s">
        <v>348</v>
      </c>
      <c r="D109" s="8" t="s">
        <v>167</v>
      </c>
      <c r="E109" s="7" t="s">
        <v>74</v>
      </c>
      <c r="F109" s="7" t="s">
        <v>26</v>
      </c>
      <c r="G109" s="7" t="s">
        <v>26</v>
      </c>
      <c r="H109" s="7">
        <v>30.0</v>
      </c>
      <c r="I109" s="7">
        <v>0.0</v>
      </c>
      <c r="J109" s="7" t="s">
        <v>46</v>
      </c>
      <c r="K109" s="9">
        <f t="shared" si="1"/>
        <v>37.5</v>
      </c>
      <c r="L109" s="7" t="s">
        <v>26</v>
      </c>
      <c r="M109" s="7">
        <v>0.15</v>
      </c>
      <c r="N109" s="7">
        <v>20.0</v>
      </c>
      <c r="O109" s="7" t="s">
        <v>26</v>
      </c>
      <c r="P109" s="7" t="s">
        <v>26</v>
      </c>
      <c r="Q109" s="7" t="s">
        <v>26</v>
      </c>
      <c r="R109" s="7" t="s">
        <v>26</v>
      </c>
      <c r="S109" s="7" t="s">
        <v>26</v>
      </c>
      <c r="T109" s="7">
        <v>110.0</v>
      </c>
      <c r="U109" s="7">
        <v>0.8</v>
      </c>
      <c r="V109" s="7" t="s">
        <v>26</v>
      </c>
      <c r="W109" s="9"/>
      <c r="X109" s="9" t="str">
        <f>IFERROR(__xludf.DUMMYFUNCTION("""COMPUTED_VALUE"""),"")</f>
        <v/>
      </c>
      <c r="Y109" s="7" t="s">
        <v>297</v>
      </c>
      <c r="Z109" s="9"/>
      <c r="AA109" s="9"/>
    </row>
    <row r="110">
      <c r="A110" s="4" t="s">
        <v>349</v>
      </c>
      <c r="B110" s="4" t="s">
        <v>26</v>
      </c>
      <c r="C110" s="4" t="s">
        <v>350</v>
      </c>
      <c r="D110" s="5" t="s">
        <v>351</v>
      </c>
      <c r="E110" s="4" t="s">
        <v>63</v>
      </c>
      <c r="F110" s="4" t="s">
        <v>26</v>
      </c>
      <c r="G110" s="4" t="s">
        <v>26</v>
      </c>
      <c r="H110" s="4">
        <v>35.0</v>
      </c>
      <c r="I110" s="4">
        <v>0.0</v>
      </c>
      <c r="J110" s="4" t="s">
        <v>34</v>
      </c>
      <c r="K110" s="6">
        <f t="shared" si="1"/>
        <v>7</v>
      </c>
      <c r="L110" s="4" t="s">
        <v>26</v>
      </c>
      <c r="M110" s="4" t="s">
        <v>26</v>
      </c>
      <c r="N110" s="4">
        <v>30.0</v>
      </c>
      <c r="O110" s="4" t="s">
        <v>26</v>
      </c>
      <c r="P110" s="4" t="s">
        <v>26</v>
      </c>
      <c r="Q110" s="4" t="s">
        <v>26</v>
      </c>
      <c r="R110" s="4" t="s">
        <v>26</v>
      </c>
      <c r="S110" s="4" t="s">
        <v>26</v>
      </c>
      <c r="T110" s="4">
        <v>260.0</v>
      </c>
      <c r="U110" s="4">
        <v>5.0</v>
      </c>
      <c r="V110" s="4" t="s">
        <v>26</v>
      </c>
      <c r="W110" s="6"/>
      <c r="X110" s="6" t="str">
        <f>IFERROR(__xludf.DUMMYFUNCTION("""COMPUTED_VALUE"""),"")</f>
        <v/>
      </c>
      <c r="Y110" s="4" t="s">
        <v>132</v>
      </c>
      <c r="Z110" s="6"/>
      <c r="AA110" s="6"/>
    </row>
    <row r="111">
      <c r="A111" s="7" t="s">
        <v>352</v>
      </c>
      <c r="B111" s="7" t="s">
        <v>26</v>
      </c>
      <c r="C111" s="7" t="s">
        <v>353</v>
      </c>
      <c r="D111" s="8" t="s">
        <v>354</v>
      </c>
      <c r="E111" s="7" t="s">
        <v>39</v>
      </c>
      <c r="F111" s="7" t="s">
        <v>26</v>
      </c>
      <c r="G111" s="7" t="s">
        <v>26</v>
      </c>
      <c r="H111" s="7">
        <v>20.0</v>
      </c>
      <c r="I111" s="7">
        <v>0.0</v>
      </c>
      <c r="J111" s="7" t="s">
        <v>46</v>
      </c>
      <c r="K111" s="9">
        <f t="shared" si="1"/>
        <v>13.33333333</v>
      </c>
      <c r="L111" s="7" t="s">
        <v>26</v>
      </c>
      <c r="M111" s="7" t="s">
        <v>26</v>
      </c>
      <c r="N111" s="7">
        <v>6.0</v>
      </c>
      <c r="O111" s="7" t="s">
        <v>26</v>
      </c>
      <c r="P111" s="7" t="s">
        <v>26</v>
      </c>
      <c r="Q111" s="7" t="s">
        <v>26</v>
      </c>
      <c r="R111" s="7" t="s">
        <v>26</v>
      </c>
      <c r="S111" s="7" t="s">
        <v>26</v>
      </c>
      <c r="T111" s="7">
        <v>1000.0</v>
      </c>
      <c r="U111" s="7">
        <v>1.5</v>
      </c>
      <c r="V111" s="7" t="s">
        <v>26</v>
      </c>
      <c r="W111" s="9"/>
      <c r="X111" s="9" t="str">
        <f>IFERROR(__xludf.DUMMYFUNCTION("""COMPUTED_VALUE"""),"C")</f>
        <v>C</v>
      </c>
      <c r="Y111" s="7" t="s">
        <v>70</v>
      </c>
      <c r="Z111" s="9"/>
      <c r="AA111" s="9"/>
    </row>
    <row r="112">
      <c r="A112" s="4" t="s">
        <v>355</v>
      </c>
      <c r="B112" s="4" t="s">
        <v>26</v>
      </c>
      <c r="C112" s="4" t="s">
        <v>356</v>
      </c>
      <c r="D112" s="5" t="s">
        <v>357</v>
      </c>
      <c r="E112" s="4" t="s">
        <v>39</v>
      </c>
      <c r="F112" s="4" t="s">
        <v>26</v>
      </c>
      <c r="G112" s="4" t="s">
        <v>26</v>
      </c>
      <c r="H112" s="4">
        <v>50.0</v>
      </c>
      <c r="I112" s="4">
        <v>50.0</v>
      </c>
      <c r="J112" s="4" t="s">
        <v>34</v>
      </c>
      <c r="K112" s="6">
        <f t="shared" si="1"/>
        <v>22.22222222</v>
      </c>
      <c r="L112" s="4" t="s">
        <v>26</v>
      </c>
      <c r="M112" s="4" t="s">
        <v>26</v>
      </c>
      <c r="N112" s="4">
        <v>7.0</v>
      </c>
      <c r="O112" s="4" t="s">
        <v>26</v>
      </c>
      <c r="P112" s="4" t="s">
        <v>26</v>
      </c>
      <c r="Q112" s="4" t="s">
        <v>26</v>
      </c>
      <c r="R112" s="4" t="s">
        <v>26</v>
      </c>
      <c r="S112" s="4" t="s">
        <v>26</v>
      </c>
      <c r="T112" s="4">
        <v>1200.0</v>
      </c>
      <c r="U112" s="4">
        <v>2.25</v>
      </c>
      <c r="V112" s="4" t="s">
        <v>26</v>
      </c>
      <c r="W112" s="6"/>
      <c r="X112" s="6" t="str">
        <f>IFERROR(__xludf.DUMMYFUNCTION("""COMPUTED_VALUE"""),"C")</f>
        <v>C</v>
      </c>
      <c r="Y112" s="4" t="s">
        <v>70</v>
      </c>
      <c r="Z112" s="6"/>
      <c r="AA112" s="6"/>
    </row>
    <row r="113">
      <c r="A113" s="7" t="s">
        <v>358</v>
      </c>
      <c r="B113" s="7" t="s">
        <v>26</v>
      </c>
      <c r="C113" s="7" t="s">
        <v>358</v>
      </c>
      <c r="D113" s="8" t="s">
        <v>100</v>
      </c>
      <c r="E113" s="7" t="s">
        <v>45</v>
      </c>
      <c r="F113" s="7" t="s">
        <v>26</v>
      </c>
      <c r="G113" s="7" t="s">
        <v>96</v>
      </c>
      <c r="H113" s="7">
        <v>40.0</v>
      </c>
      <c r="I113" s="7">
        <v>0.0</v>
      </c>
      <c r="J113" s="7" t="s">
        <v>46</v>
      </c>
      <c r="K113" s="9">
        <f t="shared" si="1"/>
        <v>20</v>
      </c>
      <c r="L113" s="7" t="s">
        <v>26</v>
      </c>
      <c r="M113" s="7" t="s">
        <v>26</v>
      </c>
      <c r="N113" s="7">
        <v>22.0</v>
      </c>
      <c r="O113" s="7" t="s">
        <v>26</v>
      </c>
      <c r="P113" s="7" t="s">
        <v>26</v>
      </c>
      <c r="Q113" s="7" t="s">
        <v>7</v>
      </c>
      <c r="R113" s="7" t="s">
        <v>26</v>
      </c>
      <c r="S113" s="7" t="s">
        <v>359</v>
      </c>
      <c r="T113" s="7">
        <v>90.0</v>
      </c>
      <c r="U113" s="7">
        <v>2.0</v>
      </c>
      <c r="V113" s="7" t="s">
        <v>26</v>
      </c>
      <c r="W113" s="9"/>
      <c r="X113" s="9" t="str">
        <f>IFERROR(__xludf.DUMMYFUNCTION("""COMPUTED_VALUE"""),"")</f>
        <v/>
      </c>
      <c r="Y113" s="7" t="s">
        <v>297</v>
      </c>
      <c r="Z113" s="9"/>
      <c r="AA113" s="9"/>
    </row>
    <row r="114">
      <c r="A114" s="4" t="s">
        <v>360</v>
      </c>
      <c r="B114" s="4" t="s">
        <v>26</v>
      </c>
      <c r="C114" s="4" t="s">
        <v>361</v>
      </c>
      <c r="D114" s="5" t="s">
        <v>164</v>
      </c>
      <c r="E114" s="4" t="s">
        <v>63</v>
      </c>
      <c r="F114" s="4" t="s">
        <v>26</v>
      </c>
      <c r="G114" s="4" t="s">
        <v>26</v>
      </c>
      <c r="H114" s="4">
        <v>25.0</v>
      </c>
      <c r="I114" s="4">
        <v>0.0</v>
      </c>
      <c r="J114" s="4" t="s">
        <v>46</v>
      </c>
      <c r="K114" s="6">
        <f t="shared" si="1"/>
        <v>6.25</v>
      </c>
      <c r="L114" s="4" t="s">
        <v>26</v>
      </c>
      <c r="M114" s="4" t="s">
        <v>26</v>
      </c>
      <c r="N114" s="4">
        <v>30.0</v>
      </c>
      <c r="O114" s="4" t="s">
        <v>26</v>
      </c>
      <c r="P114" s="4" t="s">
        <v>26</v>
      </c>
      <c r="Q114" s="4" t="s">
        <v>26</v>
      </c>
      <c r="R114" s="4" t="s">
        <v>26</v>
      </c>
      <c r="S114" s="4" t="s">
        <v>26</v>
      </c>
      <c r="T114" s="4">
        <v>260.0</v>
      </c>
      <c r="U114" s="4">
        <v>4.0</v>
      </c>
      <c r="V114" s="4" t="s">
        <v>26</v>
      </c>
      <c r="W114" s="6"/>
      <c r="X114" s="6" t="str">
        <f>IFERROR(__xludf.DUMMYFUNCTION("""COMPUTED_VALUE"""),"")</f>
        <v/>
      </c>
      <c r="Y114" s="4" t="s">
        <v>55</v>
      </c>
      <c r="Z114" s="6"/>
      <c r="AA114" s="6"/>
    </row>
    <row r="115">
      <c r="A115" s="7" t="s">
        <v>362</v>
      </c>
      <c r="B115" s="7" t="s">
        <v>26</v>
      </c>
      <c r="C115" s="7" t="s">
        <v>363</v>
      </c>
      <c r="D115" s="8" t="s">
        <v>364</v>
      </c>
      <c r="E115" s="7" t="s">
        <v>45</v>
      </c>
      <c r="F115" s="7" t="s">
        <v>26</v>
      </c>
      <c r="G115" s="7" t="s">
        <v>26</v>
      </c>
      <c r="H115" s="7">
        <v>35.0</v>
      </c>
      <c r="I115" s="7">
        <v>0.0</v>
      </c>
      <c r="J115" s="7" t="s">
        <v>30</v>
      </c>
      <c r="K115" s="9">
        <f t="shared" si="1"/>
        <v>11.66666667</v>
      </c>
      <c r="L115" s="7" t="s">
        <v>26</v>
      </c>
      <c r="M115" s="7" t="s">
        <v>26</v>
      </c>
      <c r="N115" s="7">
        <v>35.0</v>
      </c>
      <c r="O115" s="7" t="s">
        <v>26</v>
      </c>
      <c r="P115" s="7" t="s">
        <v>26</v>
      </c>
      <c r="Q115" s="7" t="s">
        <v>26</v>
      </c>
      <c r="R115" s="7" t="s">
        <v>26</v>
      </c>
      <c r="S115" s="7" t="s">
        <v>26</v>
      </c>
      <c r="T115" s="7">
        <v>80.0</v>
      </c>
      <c r="U115" s="7">
        <v>3.0</v>
      </c>
      <c r="V115" s="7" t="s">
        <v>26</v>
      </c>
      <c r="W115" s="9"/>
      <c r="X115" s="9" t="str">
        <f>IFERROR(__xludf.DUMMYFUNCTION("""COMPUTED_VALUE"""),"")</f>
        <v/>
      </c>
      <c r="Y115" s="7" t="s">
        <v>239</v>
      </c>
      <c r="Z115" s="9"/>
      <c r="AA115" s="9"/>
    </row>
    <row r="116">
      <c r="A116" s="4" t="s">
        <v>365</v>
      </c>
      <c r="B116" s="4" t="s">
        <v>26</v>
      </c>
      <c r="C116" s="4" t="s">
        <v>365</v>
      </c>
      <c r="D116" s="5" t="s">
        <v>366</v>
      </c>
      <c r="E116" s="4" t="s">
        <v>29</v>
      </c>
      <c r="F116" s="4" t="s">
        <v>26</v>
      </c>
      <c r="G116" s="4" t="s">
        <v>101</v>
      </c>
      <c r="H116" s="4">
        <v>16.0</v>
      </c>
      <c r="I116" s="4">
        <v>0.0</v>
      </c>
      <c r="J116" s="4" t="s">
        <v>46</v>
      </c>
      <c r="K116" s="6">
        <f t="shared" si="1"/>
        <v>26.66666667</v>
      </c>
      <c r="L116" s="4" t="s">
        <v>26</v>
      </c>
      <c r="M116" s="4" t="s">
        <v>26</v>
      </c>
      <c r="N116" s="4">
        <v>5.0</v>
      </c>
      <c r="O116" s="4" t="s">
        <v>26</v>
      </c>
      <c r="P116" s="4" t="s">
        <v>26</v>
      </c>
      <c r="Q116" s="4" t="s">
        <v>101</v>
      </c>
      <c r="R116" s="4">
        <v>7.0</v>
      </c>
      <c r="S116" s="4" t="s">
        <v>101</v>
      </c>
      <c r="T116" s="4">
        <v>320.0</v>
      </c>
      <c r="U116" s="4">
        <v>0.6</v>
      </c>
      <c r="V116" s="4" t="s">
        <v>26</v>
      </c>
      <c r="W116" s="6"/>
      <c r="X116" s="6" t="str">
        <f>IFERROR(__xludf.DUMMYFUNCTION("""COMPUTED_VALUE"""),"")</f>
        <v/>
      </c>
      <c r="Y116" s="4" t="s">
        <v>41</v>
      </c>
      <c r="Z116" s="6"/>
      <c r="AA116" s="6"/>
    </row>
    <row r="117">
      <c r="A117" s="7" t="s">
        <v>367</v>
      </c>
      <c r="B117" s="7" t="s">
        <v>26</v>
      </c>
      <c r="C117" s="7" t="s">
        <v>368</v>
      </c>
      <c r="D117" s="8" t="s">
        <v>369</v>
      </c>
      <c r="E117" s="7" t="s">
        <v>63</v>
      </c>
      <c r="F117" s="7" t="s">
        <v>26</v>
      </c>
      <c r="G117" s="7" t="s">
        <v>64</v>
      </c>
      <c r="H117" s="7">
        <v>15.0</v>
      </c>
      <c r="I117" s="7">
        <v>0.0</v>
      </c>
      <c r="J117" s="7" t="s">
        <v>90</v>
      </c>
      <c r="K117" s="9">
        <f t="shared" si="1"/>
        <v>7.5</v>
      </c>
      <c r="L117" s="7" t="s">
        <v>26</v>
      </c>
      <c r="M117" s="7" t="s">
        <v>26</v>
      </c>
      <c r="N117" s="7">
        <v>30.0</v>
      </c>
      <c r="O117" s="7" t="s">
        <v>26</v>
      </c>
      <c r="P117" s="7" t="s">
        <v>26</v>
      </c>
      <c r="Q117" s="7" t="s">
        <v>65</v>
      </c>
      <c r="R117" s="7" t="s">
        <v>26</v>
      </c>
      <c r="S117" s="7" t="s">
        <v>65</v>
      </c>
      <c r="T117" s="7">
        <v>140.0</v>
      </c>
      <c r="U117" s="7">
        <v>2.0</v>
      </c>
      <c r="V117" s="7" t="s">
        <v>26</v>
      </c>
      <c r="W117" s="9"/>
      <c r="X117" s="9" t="str">
        <f>IFERROR(__xludf.DUMMYFUNCTION("""COMPUTED_VALUE"""),"")</f>
        <v/>
      </c>
      <c r="Y117" s="7" t="s">
        <v>41</v>
      </c>
      <c r="Z117" s="9"/>
      <c r="AA117" s="9"/>
    </row>
    <row r="118">
      <c r="A118" s="4" t="s">
        <v>370</v>
      </c>
      <c r="B118" s="4" t="s">
        <v>26</v>
      </c>
      <c r="C118" s="4" t="s">
        <v>371</v>
      </c>
      <c r="D118" s="5" t="s">
        <v>372</v>
      </c>
      <c r="E118" s="4" t="s">
        <v>39</v>
      </c>
      <c r="F118" s="4" t="s">
        <v>26</v>
      </c>
      <c r="G118" s="4" t="s">
        <v>26</v>
      </c>
      <c r="H118" s="4">
        <v>30.0</v>
      </c>
      <c r="I118" s="4">
        <v>0.0</v>
      </c>
      <c r="J118" s="4" t="s">
        <v>30</v>
      </c>
      <c r="K118" s="6">
        <f t="shared" si="1"/>
        <v>17.64705882</v>
      </c>
      <c r="L118" s="4" t="s">
        <v>26</v>
      </c>
      <c r="M118" s="4" t="s">
        <v>26</v>
      </c>
      <c r="N118" s="4">
        <v>5.0</v>
      </c>
      <c r="O118" s="4" t="s">
        <v>26</v>
      </c>
      <c r="P118" s="4" t="s">
        <v>26</v>
      </c>
      <c r="Q118" s="4" t="s">
        <v>26</v>
      </c>
      <c r="R118" s="4" t="s">
        <v>26</v>
      </c>
      <c r="S118" s="4" t="s">
        <v>26</v>
      </c>
      <c r="T118" s="4">
        <v>500.0</v>
      </c>
      <c r="U118" s="4">
        <v>1.7</v>
      </c>
      <c r="V118" s="4" t="s">
        <v>26</v>
      </c>
      <c r="W118" s="6"/>
      <c r="X118" s="6" t="str">
        <f>IFERROR(__xludf.DUMMYFUNCTION("""COMPUTED_VALUE"""),"")</f>
        <v/>
      </c>
      <c r="Y118" s="4" t="s">
        <v>149</v>
      </c>
      <c r="Z118" s="6"/>
      <c r="AA118" s="6"/>
    </row>
    <row r="119">
      <c r="A119" s="7" t="s">
        <v>373</v>
      </c>
      <c r="B119" s="7">
        <v>0.015</v>
      </c>
      <c r="C119" s="7" t="s">
        <v>374</v>
      </c>
      <c r="D119" s="8" t="s">
        <v>375</v>
      </c>
      <c r="E119" s="7" t="s">
        <v>39</v>
      </c>
      <c r="F119" s="7" t="s">
        <v>26</v>
      </c>
      <c r="G119" s="7" t="s">
        <v>101</v>
      </c>
      <c r="H119" s="7">
        <v>30.0</v>
      </c>
      <c r="I119" s="7">
        <v>50.0</v>
      </c>
      <c r="J119" s="7" t="s">
        <v>46</v>
      </c>
      <c r="K119" s="9">
        <f t="shared" si="1"/>
        <v>19.35483871</v>
      </c>
      <c r="L119" s="7">
        <v>101.0</v>
      </c>
      <c r="M119" s="7">
        <v>0.01</v>
      </c>
      <c r="N119" s="7">
        <v>5.0</v>
      </c>
      <c r="O119" s="7" t="s">
        <v>26</v>
      </c>
      <c r="P119" s="7">
        <v>1.5</v>
      </c>
      <c r="Q119" s="7" t="s">
        <v>101</v>
      </c>
      <c r="R119" s="7">
        <v>10.0</v>
      </c>
      <c r="S119" s="7" t="s">
        <v>101</v>
      </c>
      <c r="T119" s="7">
        <v>800.0</v>
      </c>
      <c r="U119" s="7">
        <v>1.55</v>
      </c>
      <c r="V119" s="7" t="s">
        <v>26</v>
      </c>
      <c r="W119" s="9"/>
      <c r="X119" s="9" t="str">
        <f>IFERROR(__xludf.DUMMYFUNCTION("""COMPUTED_VALUE"""),"D")</f>
        <v>D</v>
      </c>
      <c r="Y119" s="7" t="s">
        <v>189</v>
      </c>
      <c r="Z119" s="9"/>
      <c r="AA119" s="9"/>
    </row>
    <row r="120">
      <c r="A120" s="4" t="s">
        <v>376</v>
      </c>
      <c r="B120" s="4" t="s">
        <v>26</v>
      </c>
      <c r="C120" s="4" t="s">
        <v>377</v>
      </c>
      <c r="D120" s="5" t="s">
        <v>378</v>
      </c>
      <c r="E120" s="4" t="s">
        <v>45</v>
      </c>
      <c r="F120" s="4" t="s">
        <v>26</v>
      </c>
      <c r="G120" s="4" t="s">
        <v>26</v>
      </c>
      <c r="H120" s="4">
        <v>40.0</v>
      </c>
      <c r="I120" s="4">
        <v>0.0</v>
      </c>
      <c r="J120" s="4" t="s">
        <v>46</v>
      </c>
      <c r="K120" s="6">
        <f t="shared" si="1"/>
        <v>33.33333333</v>
      </c>
      <c r="L120" s="4" t="s">
        <v>26</v>
      </c>
      <c r="M120" s="4" t="s">
        <v>26</v>
      </c>
      <c r="N120" s="4">
        <v>45.0</v>
      </c>
      <c r="O120" s="4" t="s">
        <v>26</v>
      </c>
      <c r="P120" s="4" t="s">
        <v>26</v>
      </c>
      <c r="Q120" s="4" t="s">
        <v>26</v>
      </c>
      <c r="R120" s="4" t="s">
        <v>26</v>
      </c>
      <c r="S120" s="4" t="s">
        <v>26</v>
      </c>
      <c r="T120" s="4">
        <v>70.0</v>
      </c>
      <c r="U120" s="4">
        <v>1.2</v>
      </c>
      <c r="V120" s="4" t="s">
        <v>26</v>
      </c>
      <c r="W120" s="6"/>
      <c r="X120" s="6" t="str">
        <f>IFERROR(__xludf.DUMMYFUNCTION("""COMPUTED_VALUE"""),"")</f>
        <v/>
      </c>
      <c r="Y120" s="4" t="s">
        <v>41</v>
      </c>
      <c r="Z120" s="6"/>
      <c r="AA120" s="6"/>
    </row>
    <row r="121">
      <c r="A121" s="7" t="s">
        <v>379</v>
      </c>
      <c r="B121" s="7" t="s">
        <v>26</v>
      </c>
      <c r="C121" s="7" t="s">
        <v>380</v>
      </c>
      <c r="D121" s="8" t="s">
        <v>381</v>
      </c>
      <c r="E121" s="7" t="s">
        <v>49</v>
      </c>
      <c r="F121" s="7" t="s">
        <v>26</v>
      </c>
      <c r="G121" s="7" t="s">
        <v>109</v>
      </c>
      <c r="H121" s="7">
        <v>0.0</v>
      </c>
      <c r="I121" s="7">
        <v>0.0</v>
      </c>
      <c r="J121" s="7" t="s">
        <v>46</v>
      </c>
      <c r="K121" s="9" t="str">
        <f t="shared" si="1"/>
        <v>N/A</v>
      </c>
      <c r="L121" s="7" t="s">
        <v>26</v>
      </c>
      <c r="M121" s="7" t="s">
        <v>26</v>
      </c>
      <c r="N121" s="7">
        <v>70.0</v>
      </c>
      <c r="O121" s="7" t="s">
        <v>26</v>
      </c>
      <c r="P121" s="7" t="s">
        <v>26</v>
      </c>
      <c r="Q121" s="7" t="s">
        <v>109</v>
      </c>
      <c r="R121" s="7" t="s">
        <v>26</v>
      </c>
      <c r="S121" s="7" t="s">
        <v>109</v>
      </c>
      <c r="T121" s="7">
        <v>80.0</v>
      </c>
      <c r="U121" s="7">
        <v>6.0</v>
      </c>
      <c r="V121" s="7" t="s">
        <v>26</v>
      </c>
      <c r="W121" s="9"/>
      <c r="X121" s="9" t="str">
        <f>IFERROR(__xludf.DUMMYFUNCTION("""COMPUTED_VALUE"""),"")</f>
        <v/>
      </c>
      <c r="Y121" s="7" t="s">
        <v>41</v>
      </c>
      <c r="Z121" s="9"/>
      <c r="AA121" s="9"/>
    </row>
    <row r="122">
      <c r="A122" s="4" t="s">
        <v>382</v>
      </c>
      <c r="B122" s="4" t="s">
        <v>26</v>
      </c>
      <c r="C122" s="4" t="s">
        <v>383</v>
      </c>
      <c r="D122" s="5" t="s">
        <v>384</v>
      </c>
      <c r="E122" s="4" t="s">
        <v>29</v>
      </c>
      <c r="F122" s="4" t="s">
        <v>26</v>
      </c>
      <c r="G122" s="4" t="s">
        <v>26</v>
      </c>
      <c r="H122" s="4">
        <v>13.0</v>
      </c>
      <c r="I122" s="4">
        <v>0.0</v>
      </c>
      <c r="J122" s="4" t="s">
        <v>58</v>
      </c>
      <c r="K122" s="6">
        <f t="shared" si="1"/>
        <v>13</v>
      </c>
      <c r="L122" s="4" t="s">
        <v>26</v>
      </c>
      <c r="M122" s="4" t="s">
        <v>26</v>
      </c>
      <c r="N122" s="4">
        <v>5.0</v>
      </c>
      <c r="O122" s="4" t="s">
        <v>26</v>
      </c>
      <c r="P122" s="4" t="s">
        <v>26</v>
      </c>
      <c r="Q122" s="4" t="s">
        <v>26</v>
      </c>
      <c r="R122" s="4" t="s">
        <v>26</v>
      </c>
      <c r="S122" s="4" t="s">
        <v>26</v>
      </c>
      <c r="T122" s="4">
        <v>140.0</v>
      </c>
      <c r="U122" s="4">
        <v>1.0</v>
      </c>
      <c r="V122" s="4" t="s">
        <v>26</v>
      </c>
      <c r="W122" s="6"/>
      <c r="X122" s="6" t="str">
        <f>IFERROR(__xludf.DUMMYFUNCTION("""COMPUTED_VALUE"""),"")</f>
        <v/>
      </c>
      <c r="Y122" s="4" t="s">
        <v>149</v>
      </c>
      <c r="Z122" s="6"/>
      <c r="AA122" s="6"/>
    </row>
    <row r="123">
      <c r="A123" s="7" t="s">
        <v>385</v>
      </c>
      <c r="B123" s="7" t="s">
        <v>26</v>
      </c>
      <c r="C123" s="7" t="s">
        <v>385</v>
      </c>
      <c r="D123" s="8" t="s">
        <v>323</v>
      </c>
      <c r="E123" s="7" t="s">
        <v>29</v>
      </c>
      <c r="F123" s="7" t="s">
        <v>26</v>
      </c>
      <c r="G123" s="7" t="s">
        <v>26</v>
      </c>
      <c r="H123" s="7">
        <v>30.0</v>
      </c>
      <c r="I123" s="7">
        <v>0.0</v>
      </c>
      <c r="J123" s="7" t="s">
        <v>46</v>
      </c>
      <c r="K123" s="9">
        <f t="shared" si="1"/>
        <v>40</v>
      </c>
      <c r="L123" s="7" t="s">
        <v>26</v>
      </c>
      <c r="M123" s="7" t="s">
        <v>26</v>
      </c>
      <c r="N123" s="7">
        <v>6.0</v>
      </c>
      <c r="O123" s="7" t="s">
        <v>26</v>
      </c>
      <c r="P123" s="7" t="s">
        <v>26</v>
      </c>
      <c r="Q123" s="7" t="s">
        <v>26</v>
      </c>
      <c r="R123" s="7" t="s">
        <v>26</v>
      </c>
      <c r="S123" s="7" t="s">
        <v>26</v>
      </c>
      <c r="T123" s="7">
        <v>280.0</v>
      </c>
      <c r="U123" s="7">
        <v>0.75</v>
      </c>
      <c r="V123" s="7" t="s">
        <v>26</v>
      </c>
      <c r="W123" s="9"/>
      <c r="X123" s="9" t="str">
        <f>IFERROR(__xludf.DUMMYFUNCTION("""COMPUTED_VALUE"""),"")</f>
        <v/>
      </c>
      <c r="Y123" s="7" t="s">
        <v>283</v>
      </c>
      <c r="Z123" s="9"/>
      <c r="AA123" s="9"/>
    </row>
    <row r="124">
      <c r="A124" s="4" t="s">
        <v>386</v>
      </c>
      <c r="B124" s="4" t="s">
        <v>26</v>
      </c>
      <c r="C124" s="4" t="s">
        <v>387</v>
      </c>
      <c r="D124" s="5" t="s">
        <v>388</v>
      </c>
      <c r="E124" s="4" t="s">
        <v>45</v>
      </c>
      <c r="F124" s="4" t="s">
        <v>26</v>
      </c>
      <c r="G124" s="4" t="s">
        <v>26</v>
      </c>
      <c r="H124" s="4">
        <v>5.0</v>
      </c>
      <c r="I124" s="4">
        <v>0.0</v>
      </c>
      <c r="J124" s="4" t="s">
        <v>214</v>
      </c>
      <c r="K124" s="6">
        <f t="shared" si="1"/>
        <v>4.166666667</v>
      </c>
      <c r="L124" s="4" t="s">
        <v>26</v>
      </c>
      <c r="M124" s="4" t="s">
        <v>26</v>
      </c>
      <c r="N124" s="4">
        <v>30.0</v>
      </c>
      <c r="O124" s="4" t="s">
        <v>26</v>
      </c>
      <c r="P124" s="4" t="s">
        <v>26</v>
      </c>
      <c r="Q124" s="4" t="s">
        <v>26</v>
      </c>
      <c r="R124" s="4" t="s">
        <v>26</v>
      </c>
      <c r="S124" s="4" t="s">
        <v>26</v>
      </c>
      <c r="T124" s="4">
        <v>30.0</v>
      </c>
      <c r="U124" s="4">
        <v>1.2</v>
      </c>
      <c r="V124" s="4" t="s">
        <v>26</v>
      </c>
      <c r="W124" s="6"/>
      <c r="X124" s="6" t="str">
        <f>IFERROR(__xludf.DUMMYFUNCTION("""COMPUTED_VALUE"""),"")</f>
        <v/>
      </c>
      <c r="Y124" s="4" t="s">
        <v>31</v>
      </c>
      <c r="Z124" s="6"/>
      <c r="AA124" s="6"/>
    </row>
    <row r="125">
      <c r="A125" s="7" t="s">
        <v>389</v>
      </c>
      <c r="B125" s="7" t="s">
        <v>26</v>
      </c>
      <c r="C125" s="7" t="s">
        <v>390</v>
      </c>
      <c r="D125" s="8" t="s">
        <v>391</v>
      </c>
      <c r="E125" s="7" t="s">
        <v>29</v>
      </c>
      <c r="F125" s="7" t="s">
        <v>26</v>
      </c>
      <c r="G125" s="7" t="s">
        <v>26</v>
      </c>
      <c r="H125" s="7">
        <v>10.0</v>
      </c>
      <c r="I125" s="7">
        <v>0.0</v>
      </c>
      <c r="J125" s="7" t="s">
        <v>90</v>
      </c>
      <c r="K125" s="9">
        <f t="shared" si="1"/>
        <v>11.11111111</v>
      </c>
      <c r="L125" s="7" t="s">
        <v>26</v>
      </c>
      <c r="M125" s="7" t="s">
        <v>26</v>
      </c>
      <c r="N125" s="7">
        <v>5.0</v>
      </c>
      <c r="O125" s="7" t="s">
        <v>26</v>
      </c>
      <c r="P125" s="7" t="s">
        <v>26</v>
      </c>
      <c r="Q125" s="7" t="s">
        <v>26</v>
      </c>
      <c r="R125" s="7" t="s">
        <v>26</v>
      </c>
      <c r="S125" s="7" t="s">
        <v>26</v>
      </c>
      <c r="T125" s="7">
        <v>140.0</v>
      </c>
      <c r="U125" s="7">
        <v>0.9</v>
      </c>
      <c r="V125" s="7" t="s">
        <v>26</v>
      </c>
      <c r="W125" s="9"/>
      <c r="X125" s="9" t="str">
        <f>IFERROR(__xludf.DUMMYFUNCTION("""COMPUTED_VALUE"""),"")</f>
        <v/>
      </c>
      <c r="Y125" s="7" t="s">
        <v>91</v>
      </c>
      <c r="Z125" s="9"/>
      <c r="AA125" s="9"/>
    </row>
    <row r="126">
      <c r="A126" s="4" t="s">
        <v>392</v>
      </c>
      <c r="B126" s="4" t="s">
        <v>26</v>
      </c>
      <c r="C126" s="4" t="s">
        <v>393</v>
      </c>
      <c r="D126" s="5" t="s">
        <v>394</v>
      </c>
      <c r="E126" s="4" t="s">
        <v>45</v>
      </c>
      <c r="F126" s="4" t="s">
        <v>26</v>
      </c>
      <c r="G126" s="4" t="s">
        <v>26</v>
      </c>
      <c r="H126" s="4">
        <v>65.0</v>
      </c>
      <c r="I126" s="4">
        <v>0.0</v>
      </c>
      <c r="J126" s="4" t="s">
        <v>34</v>
      </c>
      <c r="K126" s="6">
        <f t="shared" si="1"/>
        <v>32.5</v>
      </c>
      <c r="L126" s="4" t="s">
        <v>26</v>
      </c>
      <c r="M126" s="4" t="s">
        <v>26</v>
      </c>
      <c r="N126" s="4">
        <v>50.0</v>
      </c>
      <c r="O126" s="4" t="s">
        <v>26</v>
      </c>
      <c r="P126" s="4" t="s">
        <v>26</v>
      </c>
      <c r="Q126" s="4" t="s">
        <v>26</v>
      </c>
      <c r="R126" s="4" t="s">
        <v>26</v>
      </c>
      <c r="S126" s="4" t="s">
        <v>26</v>
      </c>
      <c r="T126" s="4">
        <v>110.0</v>
      </c>
      <c r="U126" s="4">
        <v>2.0</v>
      </c>
      <c r="V126" s="4" t="s">
        <v>26</v>
      </c>
      <c r="W126" s="6"/>
      <c r="X126" s="6" t="str">
        <f>IFERROR(__xludf.DUMMYFUNCTION("""COMPUTED_VALUE"""),"")</f>
        <v/>
      </c>
      <c r="Y126" s="4" t="s">
        <v>41</v>
      </c>
      <c r="Z126" s="6"/>
      <c r="AA126" s="6"/>
    </row>
    <row r="127">
      <c r="A127" s="7" t="s">
        <v>395</v>
      </c>
      <c r="B127" s="7" t="s">
        <v>26</v>
      </c>
      <c r="C127" s="7" t="s">
        <v>395</v>
      </c>
      <c r="D127" s="8" t="s">
        <v>323</v>
      </c>
      <c r="E127" s="7" t="s">
        <v>45</v>
      </c>
      <c r="F127" s="7" t="s">
        <v>26</v>
      </c>
      <c r="G127" s="7" t="s">
        <v>26</v>
      </c>
      <c r="H127" s="7">
        <v>90.0</v>
      </c>
      <c r="I127" s="7">
        <v>0.0</v>
      </c>
      <c r="J127" s="7" t="s">
        <v>46</v>
      </c>
      <c r="K127" s="9">
        <f t="shared" si="1"/>
        <v>30</v>
      </c>
      <c r="L127" s="7" t="s">
        <v>26</v>
      </c>
      <c r="M127" s="7" t="s">
        <v>26</v>
      </c>
      <c r="N127" s="7">
        <v>45.0</v>
      </c>
      <c r="O127" s="7" t="s">
        <v>26</v>
      </c>
      <c r="P127" s="7" t="s">
        <v>26</v>
      </c>
      <c r="Q127" s="7" t="s">
        <v>26</v>
      </c>
      <c r="R127" s="7" t="s">
        <v>26</v>
      </c>
      <c r="S127" s="7" t="s">
        <v>26</v>
      </c>
      <c r="T127" s="7">
        <v>80.0</v>
      </c>
      <c r="U127" s="7">
        <v>3.0</v>
      </c>
      <c r="V127" s="7" t="s">
        <v>26</v>
      </c>
      <c r="W127" s="9"/>
      <c r="X127" s="9" t="str">
        <f>IFERROR(__xludf.DUMMYFUNCTION("""COMPUTED_VALUE"""),"")</f>
        <v/>
      </c>
      <c r="Y127" s="7" t="s">
        <v>396</v>
      </c>
      <c r="Z127" s="9"/>
      <c r="AA127" s="9"/>
    </row>
    <row r="128">
      <c r="A128" s="4" t="s">
        <v>397</v>
      </c>
      <c r="B128" s="4" t="s">
        <v>26</v>
      </c>
      <c r="C128" s="4" t="s">
        <v>398</v>
      </c>
      <c r="D128" s="5" t="s">
        <v>399</v>
      </c>
      <c r="E128" s="4" t="s">
        <v>45</v>
      </c>
      <c r="F128" s="4" t="s">
        <v>26</v>
      </c>
      <c r="G128" s="4" t="s">
        <v>26</v>
      </c>
      <c r="H128" s="4">
        <v>5.0</v>
      </c>
      <c r="I128" s="4">
        <v>0.0</v>
      </c>
      <c r="J128" s="4" t="s">
        <v>214</v>
      </c>
      <c r="K128" s="6">
        <f t="shared" si="1"/>
        <v>5</v>
      </c>
      <c r="L128" s="4" t="s">
        <v>26</v>
      </c>
      <c r="M128" s="4" t="s">
        <v>26</v>
      </c>
      <c r="N128" s="4">
        <v>20.0</v>
      </c>
      <c r="O128" s="4" t="s">
        <v>26</v>
      </c>
      <c r="P128" s="4" t="s">
        <v>26</v>
      </c>
      <c r="Q128" s="4" t="s">
        <v>26</v>
      </c>
      <c r="R128" s="4" t="s">
        <v>26</v>
      </c>
      <c r="S128" s="4" t="s">
        <v>26</v>
      </c>
      <c r="T128" s="4">
        <v>60.0</v>
      </c>
      <c r="U128" s="4">
        <v>1.0</v>
      </c>
      <c r="V128" s="4" t="s">
        <v>26</v>
      </c>
      <c r="W128" s="6"/>
      <c r="X128" s="6" t="str">
        <f>IFERROR(__xludf.DUMMYFUNCTION("""COMPUTED_VALUE"""),"F")</f>
        <v>F</v>
      </c>
      <c r="Y128" s="4" t="s">
        <v>338</v>
      </c>
      <c r="Z128" s="6"/>
      <c r="AA128" s="6"/>
    </row>
    <row r="129">
      <c r="A129" s="7" t="s">
        <v>400</v>
      </c>
      <c r="B129" s="7" t="s">
        <v>26</v>
      </c>
      <c r="C129" s="7" t="s">
        <v>400</v>
      </c>
      <c r="D129" s="8" t="s">
        <v>168</v>
      </c>
      <c r="E129" s="7" t="s">
        <v>49</v>
      </c>
      <c r="F129" s="7" t="s">
        <v>26</v>
      </c>
      <c r="G129" s="7" t="s">
        <v>50</v>
      </c>
      <c r="H129" s="7">
        <v>15.0</v>
      </c>
      <c r="I129" s="7">
        <v>0.0</v>
      </c>
      <c r="J129" s="7" t="s">
        <v>46</v>
      </c>
      <c r="K129" s="9">
        <f t="shared" si="1"/>
        <v>10</v>
      </c>
      <c r="L129" s="7" t="s">
        <v>26</v>
      </c>
      <c r="M129" s="7" t="s">
        <v>26</v>
      </c>
      <c r="N129" s="7">
        <v>22.0</v>
      </c>
      <c r="O129" s="7" t="s">
        <v>26</v>
      </c>
      <c r="P129" s="7" t="s">
        <v>26</v>
      </c>
      <c r="Q129" s="7" t="s">
        <v>50</v>
      </c>
      <c r="R129" s="7" t="s">
        <v>26</v>
      </c>
      <c r="S129" s="7" t="s">
        <v>50</v>
      </c>
      <c r="T129" s="7">
        <v>90.0</v>
      </c>
      <c r="U129" s="7">
        <v>1.5</v>
      </c>
      <c r="V129" s="7" t="s">
        <v>26</v>
      </c>
      <c r="W129" s="9"/>
      <c r="X129" s="9" t="str">
        <f>IFERROR(__xludf.DUMMYFUNCTION("""COMPUTED_VALUE"""),"D")</f>
        <v>D</v>
      </c>
      <c r="Y129" s="7" t="s">
        <v>401</v>
      </c>
      <c r="Z129" s="9"/>
      <c r="AA129" s="9"/>
    </row>
    <row r="130">
      <c r="A130" s="4" t="s">
        <v>402</v>
      </c>
      <c r="B130" s="4" t="s">
        <v>26</v>
      </c>
      <c r="C130" s="4" t="s">
        <v>402</v>
      </c>
      <c r="D130" s="5" t="s">
        <v>403</v>
      </c>
      <c r="E130" s="4" t="s">
        <v>63</v>
      </c>
      <c r="F130" s="4" t="s">
        <v>26</v>
      </c>
      <c r="G130" s="4" t="s">
        <v>64</v>
      </c>
      <c r="H130" s="4">
        <v>10.0</v>
      </c>
      <c r="I130" s="4">
        <v>0.0</v>
      </c>
      <c r="J130" s="4" t="s">
        <v>90</v>
      </c>
      <c r="K130" s="6">
        <f t="shared" si="1"/>
        <v>5</v>
      </c>
      <c r="L130" s="4" t="s">
        <v>26</v>
      </c>
      <c r="M130" s="4" t="s">
        <v>26</v>
      </c>
      <c r="N130" s="4">
        <v>30.0</v>
      </c>
      <c r="O130" s="4" t="s">
        <v>26</v>
      </c>
      <c r="P130" s="4" t="s">
        <v>26</v>
      </c>
      <c r="Q130" s="4" t="s">
        <v>65</v>
      </c>
      <c r="R130" s="4" t="s">
        <v>26</v>
      </c>
      <c r="S130" s="4" t="s">
        <v>65</v>
      </c>
      <c r="T130" s="4">
        <v>120.0</v>
      </c>
      <c r="U130" s="4">
        <v>2.0</v>
      </c>
      <c r="V130" s="4" t="s">
        <v>26</v>
      </c>
      <c r="W130" s="6"/>
      <c r="X130" s="6" t="str">
        <f>IFERROR(__xludf.DUMMYFUNCTION("""COMPUTED_VALUE"""),"")</f>
        <v/>
      </c>
      <c r="Y130" s="4" t="s">
        <v>136</v>
      </c>
      <c r="Z130" s="6"/>
      <c r="AA130" s="6"/>
    </row>
    <row r="131">
      <c r="A131" s="7" t="s">
        <v>404</v>
      </c>
      <c r="B131" s="7" t="s">
        <v>26</v>
      </c>
      <c r="C131" s="7" t="s">
        <v>405</v>
      </c>
      <c r="D131" s="8" t="s">
        <v>406</v>
      </c>
      <c r="E131" s="7" t="s">
        <v>45</v>
      </c>
      <c r="F131" s="7" t="s">
        <v>26</v>
      </c>
      <c r="G131" s="7" t="s">
        <v>26</v>
      </c>
      <c r="H131" s="7">
        <v>65.0</v>
      </c>
      <c r="I131" s="7">
        <v>0.0</v>
      </c>
      <c r="J131" s="7" t="s">
        <v>46</v>
      </c>
      <c r="K131" s="9">
        <f t="shared" si="1"/>
        <v>18.57142857</v>
      </c>
      <c r="L131" s="7" t="s">
        <v>26</v>
      </c>
      <c r="M131" s="7">
        <v>0.1</v>
      </c>
      <c r="N131" s="7">
        <v>25.0</v>
      </c>
      <c r="O131" s="7" t="s">
        <v>26</v>
      </c>
      <c r="P131" s="7" t="s">
        <v>26</v>
      </c>
      <c r="Q131" s="7" t="s">
        <v>26</v>
      </c>
      <c r="R131" s="7" t="s">
        <v>26</v>
      </c>
      <c r="S131" s="7" t="s">
        <v>26</v>
      </c>
      <c r="T131" s="7">
        <v>200.0</v>
      </c>
      <c r="U131" s="7">
        <v>3.5</v>
      </c>
      <c r="V131" s="7" t="s">
        <v>26</v>
      </c>
      <c r="W131" s="9"/>
      <c r="X131" s="9" t="str">
        <f>IFERROR(__xludf.DUMMYFUNCTION("""COMPUTED_VALUE"""),"")</f>
        <v/>
      </c>
      <c r="Y131" s="7" t="s">
        <v>41</v>
      </c>
      <c r="Z131" s="9"/>
      <c r="AA131" s="9"/>
    </row>
    <row r="132">
      <c r="A132" s="4" t="s">
        <v>407</v>
      </c>
      <c r="B132" s="4" t="s">
        <v>26</v>
      </c>
      <c r="C132" s="4" t="s">
        <v>408</v>
      </c>
      <c r="D132" s="5" t="s">
        <v>409</v>
      </c>
      <c r="E132" s="4" t="s">
        <v>29</v>
      </c>
      <c r="F132" s="4" t="s">
        <v>26</v>
      </c>
      <c r="G132" s="4" t="s">
        <v>26</v>
      </c>
      <c r="H132" s="4">
        <v>10.0</v>
      </c>
      <c r="I132" s="4">
        <v>0.0</v>
      </c>
      <c r="J132" s="4" t="s">
        <v>58</v>
      </c>
      <c r="K132" s="6">
        <f t="shared" si="1"/>
        <v>10</v>
      </c>
      <c r="L132" s="4" t="s">
        <v>26</v>
      </c>
      <c r="M132" s="4" t="s">
        <v>26</v>
      </c>
      <c r="N132" s="4">
        <v>5.0</v>
      </c>
      <c r="O132" s="4" t="s">
        <v>26</v>
      </c>
      <c r="P132" s="4" t="s">
        <v>26</v>
      </c>
      <c r="Q132" s="4" t="s">
        <v>26</v>
      </c>
      <c r="R132" s="4" t="s">
        <v>26</v>
      </c>
      <c r="S132" s="4" t="s">
        <v>26</v>
      </c>
      <c r="T132" s="4">
        <v>80.0</v>
      </c>
      <c r="U132" s="4">
        <v>1.0</v>
      </c>
      <c r="V132" s="4" t="s">
        <v>26</v>
      </c>
      <c r="W132" s="6"/>
      <c r="X132" s="6" t="str">
        <f>IFERROR(__xludf.DUMMYFUNCTION("""COMPUTED_VALUE"""),"")</f>
        <v/>
      </c>
      <c r="Y132" s="4" t="s">
        <v>31</v>
      </c>
      <c r="Z132" s="6"/>
      <c r="AA132" s="6"/>
    </row>
    <row r="133">
      <c r="A133" s="7" t="s">
        <v>410</v>
      </c>
      <c r="B133" s="7" t="s">
        <v>26</v>
      </c>
      <c r="C133" s="7" t="s">
        <v>411</v>
      </c>
      <c r="D133" s="8" t="s">
        <v>412</v>
      </c>
      <c r="E133" s="7" t="s">
        <v>45</v>
      </c>
      <c r="F133" s="7" t="s">
        <v>26</v>
      </c>
      <c r="G133" s="7" t="s">
        <v>96</v>
      </c>
      <c r="H133" s="7">
        <v>90.0</v>
      </c>
      <c r="I133" s="7">
        <v>50.0</v>
      </c>
      <c r="J133" s="7" t="s">
        <v>34</v>
      </c>
      <c r="K133" s="9">
        <f t="shared" si="1"/>
        <v>30</v>
      </c>
      <c r="L133" s="7" t="s">
        <v>26</v>
      </c>
      <c r="M133" s="7" t="s">
        <v>26</v>
      </c>
      <c r="N133" s="7">
        <v>45.0</v>
      </c>
      <c r="O133" s="7" t="s">
        <v>26</v>
      </c>
      <c r="P133" s="7" t="s">
        <v>26</v>
      </c>
      <c r="Q133" s="7" t="s">
        <v>7</v>
      </c>
      <c r="R133" s="7" t="s">
        <v>26</v>
      </c>
      <c r="S133" s="7" t="s">
        <v>97</v>
      </c>
      <c r="T133" s="7">
        <v>90.0</v>
      </c>
      <c r="U133" s="7">
        <v>3.0</v>
      </c>
      <c r="V133" s="7" t="s">
        <v>26</v>
      </c>
      <c r="W133" s="9"/>
      <c r="X133" s="9" t="str">
        <f>IFERROR(__xludf.DUMMYFUNCTION("""COMPUTED_VALUE"""),"")</f>
        <v/>
      </c>
      <c r="Y133" s="7" t="s">
        <v>91</v>
      </c>
      <c r="Z133" s="9"/>
      <c r="AA133" s="9"/>
    </row>
    <row r="134">
      <c r="A134" s="4" t="s">
        <v>413</v>
      </c>
      <c r="B134" s="4">
        <v>0.015</v>
      </c>
      <c r="C134" s="4" t="s">
        <v>414</v>
      </c>
      <c r="D134" s="5" t="s">
        <v>415</v>
      </c>
      <c r="E134" s="4" t="s">
        <v>39</v>
      </c>
      <c r="F134" s="4" t="s">
        <v>26</v>
      </c>
      <c r="G134" s="4" t="s">
        <v>101</v>
      </c>
      <c r="H134" s="4">
        <v>30.0</v>
      </c>
      <c r="I134" s="4">
        <v>50.0</v>
      </c>
      <c r="J134" s="4" t="s">
        <v>34</v>
      </c>
      <c r="K134" s="6">
        <f t="shared" si="1"/>
        <v>20</v>
      </c>
      <c r="L134" s="4">
        <v>101.0</v>
      </c>
      <c r="M134" s="4">
        <v>0.01</v>
      </c>
      <c r="N134" s="4">
        <v>15.0</v>
      </c>
      <c r="O134" s="4" t="s">
        <v>26</v>
      </c>
      <c r="P134" s="4">
        <v>1.5</v>
      </c>
      <c r="Q134" s="4" t="s">
        <v>101</v>
      </c>
      <c r="R134" s="4">
        <v>10.0</v>
      </c>
      <c r="S134" s="4" t="s">
        <v>101</v>
      </c>
      <c r="T134" s="4">
        <v>900.0</v>
      </c>
      <c r="U134" s="4">
        <v>1.5</v>
      </c>
      <c r="V134" s="4" t="s">
        <v>26</v>
      </c>
      <c r="W134" s="6"/>
      <c r="X134" s="6" t="str">
        <f>IFERROR(__xludf.DUMMYFUNCTION("""COMPUTED_VALUE"""),"")</f>
        <v/>
      </c>
      <c r="Y134" s="4" t="s">
        <v>41</v>
      </c>
      <c r="Z134" s="6"/>
      <c r="AA134" s="6"/>
    </row>
    <row r="135">
      <c r="A135" s="7" t="s">
        <v>416</v>
      </c>
      <c r="B135" s="7">
        <v>0.45</v>
      </c>
      <c r="C135" s="7" t="s">
        <v>417</v>
      </c>
      <c r="D135" s="8" t="s">
        <v>418</v>
      </c>
      <c r="E135" s="7" t="s">
        <v>74</v>
      </c>
      <c r="F135" s="7">
        <v>25.0</v>
      </c>
      <c r="G135" s="7" t="s">
        <v>101</v>
      </c>
      <c r="H135" s="7">
        <v>50.0</v>
      </c>
      <c r="I135" s="7">
        <v>0.0</v>
      </c>
      <c r="J135" s="7" t="s">
        <v>40</v>
      </c>
      <c r="K135" s="9">
        <f t="shared" si="1"/>
        <v>66.66666667</v>
      </c>
      <c r="L135" s="7">
        <v>101.0</v>
      </c>
      <c r="M135" s="7">
        <v>0.35</v>
      </c>
      <c r="N135" s="7">
        <v>6.0</v>
      </c>
      <c r="O135" s="7">
        <v>30.0</v>
      </c>
      <c r="P135" s="7">
        <v>2.3</v>
      </c>
      <c r="Q135" s="7" t="s">
        <v>101</v>
      </c>
      <c r="R135" s="7">
        <v>35.0</v>
      </c>
      <c r="S135" s="7" t="s">
        <v>101</v>
      </c>
      <c r="T135" s="7">
        <v>400.0</v>
      </c>
      <c r="U135" s="7">
        <v>0.75</v>
      </c>
      <c r="V135" s="7">
        <v>1.0</v>
      </c>
      <c r="W135" s="9"/>
      <c r="X135" s="9" t="str">
        <f>IFERROR(__xludf.DUMMYFUNCTION("""COMPUTED_VALUE"""),"S")</f>
        <v>S</v>
      </c>
      <c r="Y135" s="7" t="s">
        <v>41</v>
      </c>
      <c r="Z135" s="9"/>
      <c r="AA135" s="9"/>
    </row>
    <row r="136">
      <c r="A136" s="4" t="s">
        <v>419</v>
      </c>
      <c r="B136" s="4" t="s">
        <v>26</v>
      </c>
      <c r="C136" s="4" t="s">
        <v>420</v>
      </c>
      <c r="D136" s="5" t="s">
        <v>421</v>
      </c>
      <c r="E136" s="4" t="s">
        <v>39</v>
      </c>
      <c r="F136" s="4" t="s">
        <v>26</v>
      </c>
      <c r="G136" s="4" t="s">
        <v>26</v>
      </c>
      <c r="H136" s="4">
        <v>22.0</v>
      </c>
      <c r="I136" s="4">
        <v>0.0</v>
      </c>
      <c r="J136" s="4" t="s">
        <v>46</v>
      </c>
      <c r="K136" s="6">
        <f t="shared" si="1"/>
        <v>15.71428571</v>
      </c>
      <c r="L136" s="4" t="s">
        <v>26</v>
      </c>
      <c r="M136" s="4" t="s">
        <v>26</v>
      </c>
      <c r="N136" s="4">
        <v>6.0</v>
      </c>
      <c r="O136" s="4" t="s">
        <v>26</v>
      </c>
      <c r="P136" s="4" t="s">
        <v>26</v>
      </c>
      <c r="Q136" s="4" t="s">
        <v>26</v>
      </c>
      <c r="R136" s="4" t="s">
        <v>26</v>
      </c>
      <c r="S136" s="4" t="s">
        <v>26</v>
      </c>
      <c r="T136" s="4">
        <v>1100.0</v>
      </c>
      <c r="U136" s="4">
        <v>1.4</v>
      </c>
      <c r="V136" s="4" t="s">
        <v>26</v>
      </c>
      <c r="W136" s="6"/>
      <c r="X136" s="6" t="str">
        <f>IFERROR(__xludf.DUMMYFUNCTION("""COMPUTED_VALUE"""),"D")</f>
        <v>D</v>
      </c>
      <c r="Y136" s="4" t="s">
        <v>41</v>
      </c>
      <c r="Z136" s="6"/>
      <c r="AA136" s="6"/>
    </row>
    <row r="137">
      <c r="A137" s="7" t="s">
        <v>29</v>
      </c>
      <c r="B137" s="7" t="s">
        <v>26</v>
      </c>
      <c r="C137" s="7" t="s">
        <v>29</v>
      </c>
      <c r="D137" s="8" t="s">
        <v>422</v>
      </c>
      <c r="E137" s="7" t="s">
        <v>29</v>
      </c>
      <c r="F137" s="7" t="s">
        <v>26</v>
      </c>
      <c r="G137" s="7" t="s">
        <v>26</v>
      </c>
      <c r="H137" s="7">
        <v>8.0</v>
      </c>
      <c r="I137" s="7">
        <v>0.0</v>
      </c>
      <c r="J137" s="7" t="s">
        <v>58</v>
      </c>
      <c r="K137" s="9">
        <f t="shared" si="1"/>
        <v>8.888888889</v>
      </c>
      <c r="L137" s="7" t="s">
        <v>26</v>
      </c>
      <c r="M137" s="7" t="s">
        <v>26</v>
      </c>
      <c r="N137" s="7">
        <v>6.0</v>
      </c>
      <c r="O137" s="7" t="s">
        <v>26</v>
      </c>
      <c r="P137" s="7" t="s">
        <v>26</v>
      </c>
      <c r="Q137" s="7" t="s">
        <v>26</v>
      </c>
      <c r="R137" s="7" t="s">
        <v>26</v>
      </c>
      <c r="S137" s="7" t="s">
        <v>26</v>
      </c>
      <c r="T137" s="7">
        <v>100.0</v>
      </c>
      <c r="U137" s="7">
        <v>0.9</v>
      </c>
      <c r="V137" s="7" t="s">
        <v>26</v>
      </c>
      <c r="W137" s="9"/>
      <c r="X137" s="9" t="str">
        <f>IFERROR(__xludf.DUMMYFUNCTION("""COMPUTED_VALUE"""),"")</f>
        <v/>
      </c>
      <c r="Y137" s="7" t="s">
        <v>59</v>
      </c>
      <c r="Z137" s="9"/>
      <c r="AA137" s="9"/>
    </row>
    <row r="138">
      <c r="A138" s="4" t="s">
        <v>423</v>
      </c>
      <c r="B138" s="4" t="s">
        <v>26</v>
      </c>
      <c r="C138" s="4" t="s">
        <v>424</v>
      </c>
      <c r="D138" s="5" t="s">
        <v>425</v>
      </c>
      <c r="E138" s="4" t="s">
        <v>63</v>
      </c>
      <c r="F138" s="4" t="s">
        <v>26</v>
      </c>
      <c r="G138" s="4" t="s">
        <v>64</v>
      </c>
      <c r="H138" s="4">
        <v>25.0</v>
      </c>
      <c r="I138" s="4">
        <v>0.0</v>
      </c>
      <c r="J138" s="4" t="s">
        <v>46</v>
      </c>
      <c r="K138" s="6">
        <f t="shared" si="1"/>
        <v>25</v>
      </c>
      <c r="L138" s="4" t="s">
        <v>26</v>
      </c>
      <c r="M138" s="4" t="s">
        <v>26</v>
      </c>
      <c r="N138" s="4">
        <v>35.0</v>
      </c>
      <c r="O138" s="4" t="s">
        <v>26</v>
      </c>
      <c r="P138" s="4" t="s">
        <v>26</v>
      </c>
      <c r="Q138" s="4" t="s">
        <v>65</v>
      </c>
      <c r="R138" s="4" t="s">
        <v>26</v>
      </c>
      <c r="S138" s="4" t="s">
        <v>65</v>
      </c>
      <c r="T138" s="4">
        <v>130.0</v>
      </c>
      <c r="U138" s="4">
        <v>1.0</v>
      </c>
      <c r="V138" s="4" t="s">
        <v>26</v>
      </c>
      <c r="W138" s="6"/>
      <c r="X138" s="6" t="str">
        <f>IFERROR(__xludf.DUMMYFUNCTION("""COMPUTED_VALUE"""),"")</f>
        <v/>
      </c>
      <c r="Y138" s="4" t="s">
        <v>55</v>
      </c>
      <c r="Z138" s="6"/>
      <c r="AA138" s="6"/>
    </row>
    <row r="139">
      <c r="A139" s="7" t="s">
        <v>426</v>
      </c>
      <c r="B139" s="7">
        <v>0.08</v>
      </c>
      <c r="C139" s="7" t="s">
        <v>427</v>
      </c>
      <c r="D139" s="8" t="s">
        <v>428</v>
      </c>
      <c r="E139" s="7" t="s">
        <v>45</v>
      </c>
      <c r="F139" s="7">
        <v>13.0</v>
      </c>
      <c r="G139" s="7" t="s">
        <v>96</v>
      </c>
      <c r="H139" s="7">
        <v>115.0</v>
      </c>
      <c r="I139" s="7">
        <v>0.0</v>
      </c>
      <c r="J139" s="7" t="s">
        <v>40</v>
      </c>
      <c r="K139" s="9">
        <f t="shared" si="1"/>
        <v>25.55555556</v>
      </c>
      <c r="L139" s="7">
        <v>100.0</v>
      </c>
      <c r="M139" s="7">
        <v>0.05</v>
      </c>
      <c r="N139" s="7">
        <v>50.0</v>
      </c>
      <c r="O139" s="7" t="s">
        <v>26</v>
      </c>
      <c r="P139" s="7">
        <v>15.0</v>
      </c>
      <c r="Q139" s="7" t="s">
        <v>7</v>
      </c>
      <c r="R139" s="7" t="s">
        <v>26</v>
      </c>
      <c r="S139" s="7" t="s">
        <v>97</v>
      </c>
      <c r="T139" s="7">
        <v>250.0</v>
      </c>
      <c r="U139" s="7">
        <v>4.5</v>
      </c>
      <c r="V139" s="7" t="s">
        <v>26</v>
      </c>
      <c r="W139" s="9"/>
      <c r="X139" s="9" t="str">
        <f>IFERROR(__xludf.DUMMYFUNCTION("""COMPUTED_VALUE"""),"C")</f>
        <v>C</v>
      </c>
      <c r="Y139" s="7" t="s">
        <v>41</v>
      </c>
      <c r="Z139" s="9"/>
      <c r="AA139" s="9"/>
    </row>
    <row r="140">
      <c r="A140" s="4" t="s">
        <v>429</v>
      </c>
      <c r="B140" s="4" t="s">
        <v>26</v>
      </c>
      <c r="C140" s="4" t="s">
        <v>429</v>
      </c>
      <c r="D140" s="5" t="s">
        <v>430</v>
      </c>
      <c r="E140" s="4" t="s">
        <v>29</v>
      </c>
      <c r="F140" s="4" t="s">
        <v>26</v>
      </c>
      <c r="G140" s="4" t="s">
        <v>101</v>
      </c>
      <c r="H140" s="4">
        <v>85.0</v>
      </c>
      <c r="I140" s="4">
        <v>10.0</v>
      </c>
      <c r="J140" s="4" t="s">
        <v>40</v>
      </c>
      <c r="K140" s="6">
        <f t="shared" si="1"/>
        <v>47.22222222</v>
      </c>
      <c r="L140" s="4" t="s">
        <v>26</v>
      </c>
      <c r="M140" s="4">
        <v>0.04</v>
      </c>
      <c r="N140" s="4">
        <v>5.0</v>
      </c>
      <c r="O140" s="4" t="s">
        <v>26</v>
      </c>
      <c r="P140" s="4" t="s">
        <v>26</v>
      </c>
      <c r="Q140" s="4" t="s">
        <v>101</v>
      </c>
      <c r="R140" s="4">
        <v>10.0</v>
      </c>
      <c r="S140" s="4" t="s">
        <v>101</v>
      </c>
      <c r="T140" s="4">
        <v>650.0</v>
      </c>
      <c r="U140" s="4">
        <v>1.8</v>
      </c>
      <c r="V140" s="4" t="s">
        <v>26</v>
      </c>
      <c r="W140" s="6"/>
      <c r="X140" s="6" t="str">
        <f>IFERROR(__xludf.DUMMYFUNCTION("""COMPUTED_VALUE"""),"F")</f>
        <v>F</v>
      </c>
      <c r="Y140" s="4" t="s">
        <v>41</v>
      </c>
      <c r="Z140" s="6"/>
      <c r="AA140" s="6"/>
    </row>
    <row r="141">
      <c r="A141" s="7" t="s">
        <v>431</v>
      </c>
      <c r="B141" s="7" t="s">
        <v>26</v>
      </c>
      <c r="C141" s="7" t="s">
        <v>431</v>
      </c>
      <c r="D141" s="8" t="s">
        <v>432</v>
      </c>
      <c r="E141" s="7" t="s">
        <v>29</v>
      </c>
      <c r="F141" s="7" t="s">
        <v>26</v>
      </c>
      <c r="G141" s="7" t="s">
        <v>26</v>
      </c>
      <c r="H141" s="7">
        <v>300.0</v>
      </c>
      <c r="I141" s="7">
        <v>0.0</v>
      </c>
      <c r="J141" s="7" t="s">
        <v>46</v>
      </c>
      <c r="K141" s="9">
        <f t="shared" si="1"/>
        <v>15</v>
      </c>
      <c r="L141" s="7" t="s">
        <v>26</v>
      </c>
      <c r="M141" s="7" t="s">
        <v>26</v>
      </c>
      <c r="N141" s="7">
        <v>5.0</v>
      </c>
      <c r="O141" s="7" t="s">
        <v>26</v>
      </c>
      <c r="P141" s="7" t="s">
        <v>26</v>
      </c>
      <c r="Q141" s="7" t="s">
        <v>26</v>
      </c>
      <c r="R141" s="7" t="s">
        <v>26</v>
      </c>
      <c r="S141" s="7" t="s">
        <v>26</v>
      </c>
      <c r="T141" s="7">
        <v>60.0</v>
      </c>
      <c r="U141" s="7">
        <v>20.0</v>
      </c>
      <c r="V141" s="7" t="s">
        <v>26</v>
      </c>
      <c r="W141" s="9"/>
      <c r="X141" s="9" t="str">
        <f>IFERROR(__xludf.DUMMYFUNCTION("""COMPUTED_VALUE"""),"")</f>
        <v/>
      </c>
      <c r="Y141" s="7" t="s">
        <v>55</v>
      </c>
      <c r="Z141" s="9"/>
      <c r="AA141" s="9"/>
    </row>
    <row r="142">
      <c r="A142" s="4" t="s">
        <v>433</v>
      </c>
      <c r="B142" s="4" t="s">
        <v>26</v>
      </c>
      <c r="C142" s="4" t="s">
        <v>434</v>
      </c>
      <c r="D142" s="5" t="s">
        <v>435</v>
      </c>
      <c r="E142" s="4" t="s">
        <v>80</v>
      </c>
      <c r="F142" s="4" t="s">
        <v>26</v>
      </c>
      <c r="G142" s="4" t="s">
        <v>81</v>
      </c>
      <c r="H142" s="4">
        <v>10.0</v>
      </c>
      <c r="I142" s="4">
        <v>0.0</v>
      </c>
      <c r="J142" s="4" t="s">
        <v>30</v>
      </c>
      <c r="K142" s="6">
        <f t="shared" si="1"/>
        <v>10</v>
      </c>
      <c r="L142" s="4" t="s">
        <v>26</v>
      </c>
      <c r="M142" s="4" t="s">
        <v>26</v>
      </c>
      <c r="N142" s="4">
        <v>5.0</v>
      </c>
      <c r="O142" s="4" t="s">
        <v>26</v>
      </c>
      <c r="P142" s="4" t="s">
        <v>26</v>
      </c>
      <c r="Q142" s="4" t="s">
        <v>26</v>
      </c>
      <c r="R142" s="4" t="s">
        <v>26</v>
      </c>
      <c r="S142" s="4" t="s">
        <v>26</v>
      </c>
      <c r="T142" s="4">
        <v>120.0</v>
      </c>
      <c r="U142" s="4">
        <v>1.0</v>
      </c>
      <c r="V142" s="4" t="s">
        <v>26</v>
      </c>
      <c r="W142" s="6"/>
      <c r="X142" s="6" t="str">
        <f>IFERROR(__xludf.DUMMYFUNCTION("""COMPUTED_VALUE"""),"")</f>
        <v/>
      </c>
      <c r="Y142" s="4" t="s">
        <v>91</v>
      </c>
      <c r="Z142" s="6"/>
      <c r="AA142" s="6"/>
    </row>
    <row r="143">
      <c r="A143" s="7" t="s">
        <v>436</v>
      </c>
      <c r="B143" s="7" t="s">
        <v>26</v>
      </c>
      <c r="C143" s="7" t="s">
        <v>437</v>
      </c>
      <c r="D143" s="8" t="s">
        <v>438</v>
      </c>
      <c r="E143" s="7" t="s">
        <v>39</v>
      </c>
      <c r="F143" s="7" t="s">
        <v>26</v>
      </c>
      <c r="G143" s="7" t="s">
        <v>26</v>
      </c>
      <c r="H143" s="7">
        <v>35.0</v>
      </c>
      <c r="I143" s="7">
        <v>0.0</v>
      </c>
      <c r="J143" s="7" t="s">
        <v>46</v>
      </c>
      <c r="K143" s="9">
        <f t="shared" si="1"/>
        <v>23.33333333</v>
      </c>
      <c r="L143" s="7" t="s">
        <v>26</v>
      </c>
      <c r="M143" s="7" t="s">
        <v>26</v>
      </c>
      <c r="N143" s="7">
        <v>6.0</v>
      </c>
      <c r="O143" s="7" t="s">
        <v>26</v>
      </c>
      <c r="P143" s="7" t="s">
        <v>26</v>
      </c>
      <c r="Q143" s="7" t="s">
        <v>26</v>
      </c>
      <c r="R143" s="7" t="s">
        <v>26</v>
      </c>
      <c r="S143" s="7" t="s">
        <v>26</v>
      </c>
      <c r="T143" s="7">
        <v>800.0</v>
      </c>
      <c r="U143" s="7">
        <v>1.5</v>
      </c>
      <c r="V143" s="7" t="s">
        <v>26</v>
      </c>
      <c r="W143" s="9"/>
      <c r="X143" s="9" t="str">
        <f>IFERROR(__xludf.DUMMYFUNCTION("""COMPUTED_VALUE"""),"D")</f>
        <v>D</v>
      </c>
      <c r="Y143" s="7" t="s">
        <v>439</v>
      </c>
      <c r="Z143" s="9"/>
      <c r="AA143" s="9"/>
    </row>
    <row r="144">
      <c r="A144" s="4" t="s">
        <v>440</v>
      </c>
      <c r="B144" s="4" t="s">
        <v>26</v>
      </c>
      <c r="C144" s="4" t="s">
        <v>440</v>
      </c>
      <c r="D144" s="5" t="s">
        <v>323</v>
      </c>
      <c r="E144" s="4" t="s">
        <v>29</v>
      </c>
      <c r="F144" s="4" t="s">
        <v>26</v>
      </c>
      <c r="G144" s="4" t="s">
        <v>26</v>
      </c>
      <c r="H144" s="4">
        <v>30.0</v>
      </c>
      <c r="I144" s="4">
        <v>0.0</v>
      </c>
      <c r="J144" s="4" t="s">
        <v>90</v>
      </c>
      <c r="K144" s="6">
        <f t="shared" si="1"/>
        <v>24</v>
      </c>
      <c r="L144" s="4" t="s">
        <v>26</v>
      </c>
      <c r="M144" s="4" t="s">
        <v>26</v>
      </c>
      <c r="N144" s="4">
        <v>6.0</v>
      </c>
      <c r="O144" s="4" t="s">
        <v>26</v>
      </c>
      <c r="P144" s="4" t="s">
        <v>26</v>
      </c>
      <c r="Q144" s="4" t="s">
        <v>26</v>
      </c>
      <c r="R144" s="4" t="s">
        <v>26</v>
      </c>
      <c r="S144" s="4" t="s">
        <v>26</v>
      </c>
      <c r="T144" s="4">
        <v>300.0</v>
      </c>
      <c r="U144" s="4">
        <v>1.25</v>
      </c>
      <c r="V144" s="4" t="s">
        <v>26</v>
      </c>
      <c r="W144" s="6"/>
      <c r="X144" s="6" t="str">
        <f>IFERROR(__xludf.DUMMYFUNCTION("""COMPUTED_VALUE"""),"")</f>
        <v/>
      </c>
      <c r="Y144" s="4" t="s">
        <v>174</v>
      </c>
      <c r="Z144" s="6"/>
      <c r="AA144" s="6"/>
    </row>
    <row r="145">
      <c r="A145" s="7" t="s">
        <v>441</v>
      </c>
      <c r="B145" s="7">
        <v>0.02</v>
      </c>
      <c r="C145" s="7" t="s">
        <v>442</v>
      </c>
      <c r="D145" s="8" t="s">
        <v>443</v>
      </c>
      <c r="E145" s="7" t="s">
        <v>63</v>
      </c>
      <c r="F145" s="7" t="s">
        <v>26</v>
      </c>
      <c r="G145" s="7" t="s">
        <v>64</v>
      </c>
      <c r="H145" s="7">
        <v>47.0</v>
      </c>
      <c r="I145" s="7" t="s">
        <v>26</v>
      </c>
      <c r="J145" s="7" t="s">
        <v>34</v>
      </c>
      <c r="K145" s="9">
        <f t="shared" si="1"/>
        <v>27.64705882</v>
      </c>
      <c r="L145" s="7" t="s">
        <v>26</v>
      </c>
      <c r="M145" s="7">
        <v>0.02</v>
      </c>
      <c r="N145" s="7">
        <v>40.0</v>
      </c>
      <c r="O145" s="7" t="s">
        <v>26</v>
      </c>
      <c r="P145" s="7">
        <v>1.75</v>
      </c>
      <c r="Q145" s="7" t="s">
        <v>65</v>
      </c>
      <c r="R145" s="7" t="s">
        <v>26</v>
      </c>
      <c r="S145" s="7" t="s">
        <v>66</v>
      </c>
      <c r="T145" s="7">
        <v>350.0</v>
      </c>
      <c r="U145" s="7">
        <v>1.7</v>
      </c>
      <c r="V145" s="7" t="s">
        <v>26</v>
      </c>
      <c r="W145" s="9"/>
      <c r="X145" s="9" t="str">
        <f>IFERROR(__xludf.DUMMYFUNCTION("""COMPUTED_VALUE"""),"C")</f>
        <v>C</v>
      </c>
      <c r="Y145" s="7" t="s">
        <v>41</v>
      </c>
      <c r="Z145" s="9"/>
      <c r="AA145" s="9"/>
    </row>
    <row r="146">
      <c r="A146" s="4" t="s">
        <v>444</v>
      </c>
      <c r="B146" s="4" t="s">
        <v>26</v>
      </c>
      <c r="C146" s="4" t="s">
        <v>444</v>
      </c>
      <c r="D146" s="5" t="s">
        <v>100</v>
      </c>
      <c r="E146" s="4" t="s">
        <v>80</v>
      </c>
      <c r="F146" s="4" t="s">
        <v>26</v>
      </c>
      <c r="G146" s="4" t="s">
        <v>81</v>
      </c>
      <c r="H146" s="4">
        <v>7.0</v>
      </c>
      <c r="I146" s="4">
        <v>0.0</v>
      </c>
      <c r="J146" s="4" t="s">
        <v>90</v>
      </c>
      <c r="K146" s="6">
        <f t="shared" si="1"/>
        <v>5.833333333</v>
      </c>
      <c r="L146" s="4" t="s">
        <v>26</v>
      </c>
      <c r="M146" s="4" t="s">
        <v>26</v>
      </c>
      <c r="N146" s="4">
        <v>20.0</v>
      </c>
      <c r="O146" s="4" t="s">
        <v>26</v>
      </c>
      <c r="P146" s="4" t="s">
        <v>26</v>
      </c>
      <c r="Q146" s="4" t="s">
        <v>26</v>
      </c>
      <c r="R146" s="4" t="s">
        <v>26</v>
      </c>
      <c r="S146" s="4" t="s">
        <v>26</v>
      </c>
      <c r="T146" s="4">
        <v>90.0</v>
      </c>
      <c r="U146" s="4">
        <v>1.2</v>
      </c>
      <c r="V146" s="4" t="s">
        <v>26</v>
      </c>
      <c r="W146" s="6"/>
      <c r="X146" s="6" t="str">
        <f>IFERROR(__xludf.DUMMYFUNCTION("""COMPUTED_VALUE"""),"")</f>
        <v/>
      </c>
      <c r="Y146" s="4" t="s">
        <v>136</v>
      </c>
      <c r="Z146" s="6"/>
      <c r="AA146" s="6"/>
    </row>
    <row r="147">
      <c r="A147" s="7" t="s">
        <v>445</v>
      </c>
      <c r="B147" s="7">
        <v>0.35</v>
      </c>
      <c r="C147" s="7" t="s">
        <v>445</v>
      </c>
      <c r="D147" s="8" t="s">
        <v>446</v>
      </c>
      <c r="E147" s="7" t="s">
        <v>74</v>
      </c>
      <c r="F147" s="7" t="s">
        <v>26</v>
      </c>
      <c r="G147" s="7" t="s">
        <v>75</v>
      </c>
      <c r="H147" s="7">
        <v>38.0</v>
      </c>
      <c r="I147" s="7">
        <v>0.0</v>
      </c>
      <c r="J147" s="7" t="s">
        <v>46</v>
      </c>
      <c r="K147" s="9">
        <f t="shared" si="1"/>
        <v>38</v>
      </c>
      <c r="L147" s="7" t="s">
        <v>26</v>
      </c>
      <c r="M147" s="7">
        <v>0.25</v>
      </c>
      <c r="N147" s="7">
        <v>6.0</v>
      </c>
      <c r="O147" s="7">
        <v>30.0</v>
      </c>
      <c r="P147" s="7" t="s">
        <v>26</v>
      </c>
      <c r="Q147" s="7" t="s">
        <v>7</v>
      </c>
      <c r="R147" s="7" t="s">
        <v>26</v>
      </c>
      <c r="S147" s="7" t="s">
        <v>75</v>
      </c>
      <c r="T147" s="7">
        <v>250.0</v>
      </c>
      <c r="U147" s="7">
        <v>1.0</v>
      </c>
      <c r="V147" s="7">
        <v>1.0</v>
      </c>
      <c r="W147" s="9"/>
      <c r="X147" s="9" t="str">
        <f>IFERROR(__xludf.DUMMYFUNCTION("""COMPUTED_VALUE"""),"")</f>
        <v/>
      </c>
      <c r="Y147" s="7" t="s">
        <v>41</v>
      </c>
      <c r="Z147" s="9"/>
      <c r="AA147" s="9"/>
    </row>
    <row r="148">
      <c r="A148" s="4" t="s">
        <v>447</v>
      </c>
      <c r="B148" s="4" t="s">
        <v>26</v>
      </c>
      <c r="C148" s="4" t="s">
        <v>447</v>
      </c>
      <c r="D148" s="5" t="s">
        <v>448</v>
      </c>
      <c r="E148" s="4" t="s">
        <v>80</v>
      </c>
      <c r="F148" s="4" t="s">
        <v>26</v>
      </c>
      <c r="G148" s="4" t="s">
        <v>81</v>
      </c>
      <c r="H148" s="4">
        <v>7.5</v>
      </c>
      <c r="I148" s="4">
        <v>0.0</v>
      </c>
      <c r="J148" s="4" t="s">
        <v>30</v>
      </c>
      <c r="K148" s="6">
        <f t="shared" si="1"/>
        <v>6</v>
      </c>
      <c r="L148" s="4" t="s">
        <v>26</v>
      </c>
      <c r="M148" s="4" t="s">
        <v>26</v>
      </c>
      <c r="N148" s="4">
        <v>20.0</v>
      </c>
      <c r="O148" s="4" t="s">
        <v>26</v>
      </c>
      <c r="P148" s="4" t="s">
        <v>26</v>
      </c>
      <c r="Q148" s="4" t="s">
        <v>26</v>
      </c>
      <c r="R148" s="4" t="s">
        <v>26</v>
      </c>
      <c r="S148" s="4" t="s">
        <v>26</v>
      </c>
      <c r="T148" s="4">
        <v>80.0</v>
      </c>
      <c r="U148" s="4">
        <v>1.25</v>
      </c>
      <c r="V148" s="4" t="s">
        <v>26</v>
      </c>
      <c r="W148" s="6"/>
      <c r="X148" s="6" t="str">
        <f>IFERROR(__xludf.DUMMYFUNCTION("""COMPUTED_VALUE"""),"")</f>
        <v/>
      </c>
      <c r="Y148" s="4" t="s">
        <v>449</v>
      </c>
      <c r="Z148" s="6"/>
      <c r="AA148" s="6"/>
    </row>
    <row r="149">
      <c r="A149" s="7" t="s">
        <v>450</v>
      </c>
      <c r="B149" s="7">
        <v>0.06</v>
      </c>
      <c r="C149" s="7" t="s">
        <v>451</v>
      </c>
      <c r="D149" s="8" t="s">
        <v>452</v>
      </c>
      <c r="E149" s="7" t="s">
        <v>49</v>
      </c>
      <c r="F149" s="7" t="s">
        <v>26</v>
      </c>
      <c r="G149" s="7" t="s">
        <v>220</v>
      </c>
      <c r="H149" s="7">
        <v>35.0</v>
      </c>
      <c r="I149" s="7">
        <v>0.0</v>
      </c>
      <c r="J149" s="7" t="s">
        <v>40</v>
      </c>
      <c r="K149" s="9">
        <f t="shared" si="1"/>
        <v>26.92307692</v>
      </c>
      <c r="L149" s="7" t="s">
        <v>26</v>
      </c>
      <c r="M149" s="7">
        <v>0.05</v>
      </c>
      <c r="N149" s="7">
        <v>70.0</v>
      </c>
      <c r="O149" s="7" t="s">
        <v>26</v>
      </c>
      <c r="P149" s="7">
        <v>1.75</v>
      </c>
      <c r="Q149" s="7" t="s">
        <v>220</v>
      </c>
      <c r="R149" s="7" t="s">
        <v>26</v>
      </c>
      <c r="S149" s="7" t="s">
        <v>99</v>
      </c>
      <c r="T149" s="7">
        <v>220.0</v>
      </c>
      <c r="U149" s="7">
        <v>1.3</v>
      </c>
      <c r="V149" s="7" t="s">
        <v>26</v>
      </c>
      <c r="W149" s="9"/>
      <c r="X149" s="9" t="str">
        <f>IFERROR(__xludf.DUMMYFUNCTION("""COMPUTED_VALUE"""),"S")</f>
        <v>S</v>
      </c>
      <c r="Y149" s="7" t="s">
        <v>41</v>
      </c>
      <c r="Z149" s="9"/>
      <c r="AA149" s="9"/>
    </row>
    <row r="150">
      <c r="A150" s="4" t="s">
        <v>453</v>
      </c>
      <c r="B150" s="4" t="s">
        <v>26</v>
      </c>
      <c r="C150" s="4" t="s">
        <v>454</v>
      </c>
      <c r="D150" s="5" t="s">
        <v>455</v>
      </c>
      <c r="E150" s="4" t="s">
        <v>29</v>
      </c>
      <c r="F150" s="4" t="s">
        <v>26</v>
      </c>
      <c r="G150" s="4" t="s">
        <v>101</v>
      </c>
      <c r="H150" s="4">
        <v>100.0</v>
      </c>
      <c r="I150" s="4">
        <v>50.0</v>
      </c>
      <c r="J150" s="4" t="s">
        <v>34</v>
      </c>
      <c r="K150" s="6">
        <f t="shared" si="1"/>
        <v>44.44444444</v>
      </c>
      <c r="L150" s="4" t="s">
        <v>26</v>
      </c>
      <c r="M150" s="4" t="s">
        <v>26</v>
      </c>
      <c r="N150" s="4">
        <v>8.0</v>
      </c>
      <c r="O150" s="4" t="s">
        <v>26</v>
      </c>
      <c r="P150" s="4" t="s">
        <v>26</v>
      </c>
      <c r="Q150" s="4" t="s">
        <v>101</v>
      </c>
      <c r="R150" s="4">
        <v>30.0</v>
      </c>
      <c r="S150" s="4" t="s">
        <v>101</v>
      </c>
      <c r="T150" s="4">
        <v>600.0</v>
      </c>
      <c r="U150" s="4">
        <v>2.25</v>
      </c>
      <c r="V150" s="4" t="s">
        <v>26</v>
      </c>
      <c r="W150" s="6"/>
      <c r="X150" s="6" t="str">
        <f>IFERROR(__xludf.DUMMYFUNCTION("""COMPUTED_VALUE"""),"")</f>
        <v/>
      </c>
      <c r="Y150" s="4" t="s">
        <v>149</v>
      </c>
      <c r="Z150" s="6"/>
      <c r="AA150" s="6"/>
    </row>
    <row r="151">
      <c r="A151" s="7" t="s">
        <v>456</v>
      </c>
      <c r="B151" s="7" t="s">
        <v>26</v>
      </c>
      <c r="C151" s="7" t="s">
        <v>457</v>
      </c>
      <c r="D151" s="8" t="s">
        <v>458</v>
      </c>
      <c r="E151" s="7" t="s">
        <v>29</v>
      </c>
      <c r="F151" s="7" t="s">
        <v>26</v>
      </c>
      <c r="G151" s="7" t="s">
        <v>64</v>
      </c>
      <c r="H151" s="7">
        <v>20.0</v>
      </c>
      <c r="I151" s="7">
        <v>0.0</v>
      </c>
      <c r="J151" s="7" t="s">
        <v>30</v>
      </c>
      <c r="K151" s="9">
        <f t="shared" si="1"/>
        <v>18.18181818</v>
      </c>
      <c r="L151" s="7" t="s">
        <v>26</v>
      </c>
      <c r="M151" s="7" t="s">
        <v>26</v>
      </c>
      <c r="N151" s="7">
        <v>5.0</v>
      </c>
      <c r="O151" s="7" t="s">
        <v>26</v>
      </c>
      <c r="P151" s="7" t="s">
        <v>26</v>
      </c>
      <c r="Q151" s="7" t="s">
        <v>65</v>
      </c>
      <c r="R151" s="7" t="s">
        <v>26</v>
      </c>
      <c r="S151" s="7" t="s">
        <v>65</v>
      </c>
      <c r="T151" s="7">
        <v>230.0</v>
      </c>
      <c r="U151" s="7">
        <v>1.1</v>
      </c>
      <c r="V151" s="7" t="s">
        <v>26</v>
      </c>
      <c r="W151" s="9"/>
      <c r="X151" s="9" t="str">
        <f>IFERROR(__xludf.DUMMYFUNCTION("""COMPUTED_VALUE"""),"")</f>
        <v/>
      </c>
      <c r="Y151" s="7" t="s">
        <v>55</v>
      </c>
      <c r="Z151" s="9"/>
      <c r="AA151" s="9"/>
    </row>
    <row r="152">
      <c r="A152" s="4" t="s">
        <v>459</v>
      </c>
      <c r="B152" s="4" t="s">
        <v>26</v>
      </c>
      <c r="C152" s="4" t="s">
        <v>460</v>
      </c>
      <c r="D152" s="5" t="s">
        <v>194</v>
      </c>
      <c r="E152" s="4" t="s">
        <v>45</v>
      </c>
      <c r="F152" s="4" t="s">
        <v>26</v>
      </c>
      <c r="G152" s="4" t="s">
        <v>26</v>
      </c>
      <c r="H152" s="4">
        <v>15.0</v>
      </c>
      <c r="I152" s="4">
        <v>0.0</v>
      </c>
      <c r="J152" s="4" t="s">
        <v>58</v>
      </c>
      <c r="K152" s="6">
        <f t="shared" si="1"/>
        <v>12.5</v>
      </c>
      <c r="L152" s="4" t="s">
        <v>26</v>
      </c>
      <c r="M152" s="4" t="s">
        <v>26</v>
      </c>
      <c r="N152" s="4">
        <v>30.0</v>
      </c>
      <c r="O152" s="4" t="s">
        <v>26</v>
      </c>
      <c r="P152" s="4" t="s">
        <v>26</v>
      </c>
      <c r="Q152" s="4" t="s">
        <v>26</v>
      </c>
      <c r="R152" s="4" t="s">
        <v>26</v>
      </c>
      <c r="S152" s="4" t="s">
        <v>26</v>
      </c>
      <c r="T152" s="4">
        <v>100.0</v>
      </c>
      <c r="U152" s="4">
        <v>1.2</v>
      </c>
      <c r="V152" s="4" t="s">
        <v>26</v>
      </c>
      <c r="W152" s="6"/>
      <c r="X152" s="6" t="str">
        <f>IFERROR(__xludf.DUMMYFUNCTION("""COMPUTED_VALUE"""),"")</f>
        <v/>
      </c>
      <c r="Y152" s="4" t="s">
        <v>149</v>
      </c>
      <c r="Z152" s="6"/>
      <c r="AA152" s="6"/>
    </row>
    <row r="153">
      <c r="A153" s="7" t="s">
        <v>461</v>
      </c>
      <c r="B153" s="7" t="s">
        <v>26</v>
      </c>
      <c r="C153" s="7" t="s">
        <v>339</v>
      </c>
      <c r="D153" s="8" t="s">
        <v>462</v>
      </c>
      <c r="E153" s="7" t="s">
        <v>29</v>
      </c>
      <c r="F153" s="7" t="s">
        <v>26</v>
      </c>
      <c r="G153" s="7" t="s">
        <v>26</v>
      </c>
      <c r="H153" s="7">
        <v>5.0</v>
      </c>
      <c r="I153" s="7">
        <v>0.0</v>
      </c>
      <c r="J153" s="7" t="s">
        <v>214</v>
      </c>
      <c r="K153" s="9">
        <f t="shared" si="1"/>
        <v>5</v>
      </c>
      <c r="L153" s="7" t="s">
        <v>26</v>
      </c>
      <c r="M153" s="7" t="s">
        <v>26</v>
      </c>
      <c r="N153" s="7">
        <v>6.0</v>
      </c>
      <c r="O153" s="7" t="s">
        <v>26</v>
      </c>
      <c r="P153" s="7" t="s">
        <v>26</v>
      </c>
      <c r="Q153" s="7" t="s">
        <v>26</v>
      </c>
      <c r="R153" s="7" t="s">
        <v>26</v>
      </c>
      <c r="S153" s="7" t="s">
        <v>26</v>
      </c>
      <c r="T153" s="7">
        <v>70.0</v>
      </c>
      <c r="U153" s="7">
        <v>1.0</v>
      </c>
      <c r="V153" s="7" t="s">
        <v>26</v>
      </c>
      <c r="W153" s="9"/>
      <c r="X153" s="9" t="str">
        <f>IFERROR(__xludf.DUMMYFUNCTION("""COMPUTED_VALUE"""),"F")</f>
        <v>F</v>
      </c>
      <c r="Y153" s="7" t="s">
        <v>41</v>
      </c>
      <c r="Z153" s="9"/>
      <c r="AA153" s="9"/>
    </row>
    <row r="154">
      <c r="A154" s="4" t="s">
        <v>463</v>
      </c>
      <c r="B154" s="4" t="s">
        <v>26</v>
      </c>
      <c r="C154" s="4" t="s">
        <v>464</v>
      </c>
      <c r="D154" s="5" t="s">
        <v>465</v>
      </c>
      <c r="E154" s="4" t="s">
        <v>29</v>
      </c>
      <c r="F154" s="4" t="s">
        <v>26</v>
      </c>
      <c r="G154" s="4" t="s">
        <v>26</v>
      </c>
      <c r="H154" s="4">
        <v>12.0</v>
      </c>
      <c r="I154" s="4">
        <v>0.0</v>
      </c>
      <c r="J154" s="4" t="s">
        <v>58</v>
      </c>
      <c r="K154" s="6">
        <f t="shared" si="1"/>
        <v>12</v>
      </c>
      <c r="L154" s="4" t="s">
        <v>26</v>
      </c>
      <c r="M154" s="4" t="s">
        <v>26</v>
      </c>
      <c r="N154" s="4">
        <v>5.0</v>
      </c>
      <c r="O154" s="4" t="s">
        <v>26</v>
      </c>
      <c r="P154" s="4" t="s">
        <v>26</v>
      </c>
      <c r="Q154" s="4" t="s">
        <v>26</v>
      </c>
      <c r="R154" s="4" t="s">
        <v>26</v>
      </c>
      <c r="S154" s="4" t="s">
        <v>26</v>
      </c>
      <c r="T154" s="4">
        <v>90.0</v>
      </c>
      <c r="U154" s="4">
        <v>1.0</v>
      </c>
      <c r="V154" s="4" t="s">
        <v>26</v>
      </c>
      <c r="W154" s="6"/>
      <c r="X154" s="6" t="str">
        <f>IFERROR(__xludf.DUMMYFUNCTION("""COMPUTED_VALUE"""),"")</f>
        <v/>
      </c>
      <c r="Y154" s="4" t="s">
        <v>41</v>
      </c>
      <c r="Z154" s="6"/>
      <c r="AA154" s="6"/>
    </row>
    <row r="155">
      <c r="A155" s="7" t="s">
        <v>466</v>
      </c>
      <c r="B155" s="7" t="s">
        <v>26</v>
      </c>
      <c r="C155" s="7" t="s">
        <v>383</v>
      </c>
      <c r="D155" s="8" t="s">
        <v>467</v>
      </c>
      <c r="E155" s="7" t="s">
        <v>29</v>
      </c>
      <c r="F155" s="7" t="s">
        <v>26</v>
      </c>
      <c r="G155" s="7" t="s">
        <v>26</v>
      </c>
      <c r="H155" s="7">
        <v>12.0</v>
      </c>
      <c r="I155" s="7">
        <v>0.0</v>
      </c>
      <c r="J155" s="7" t="s">
        <v>58</v>
      </c>
      <c r="K155" s="9">
        <f t="shared" si="1"/>
        <v>12</v>
      </c>
      <c r="L155" s="7" t="s">
        <v>26</v>
      </c>
      <c r="M155" s="7" t="s">
        <v>26</v>
      </c>
      <c r="N155" s="7">
        <v>5.0</v>
      </c>
      <c r="O155" s="7" t="s">
        <v>26</v>
      </c>
      <c r="P155" s="7" t="s">
        <v>26</v>
      </c>
      <c r="Q155" s="7" t="s">
        <v>26</v>
      </c>
      <c r="R155" s="7" t="s">
        <v>26</v>
      </c>
      <c r="S155" s="7" t="s">
        <v>26</v>
      </c>
      <c r="T155" s="7">
        <v>90.0</v>
      </c>
      <c r="U155" s="7">
        <v>1.0</v>
      </c>
      <c r="V155" s="7" t="s">
        <v>26</v>
      </c>
      <c r="W155" s="9"/>
      <c r="X155" s="9" t="str">
        <f>IFERROR(__xludf.DUMMYFUNCTION("""COMPUTED_VALUE"""),"F")</f>
        <v>F</v>
      </c>
      <c r="Y155" s="7" t="s">
        <v>41</v>
      </c>
      <c r="Z155" s="9"/>
      <c r="AA155" s="9"/>
    </row>
    <row r="156">
      <c r="A156" s="4" t="s">
        <v>468</v>
      </c>
      <c r="B156" s="4" t="s">
        <v>26</v>
      </c>
      <c r="C156" s="4" t="s">
        <v>457</v>
      </c>
      <c r="D156" s="5" t="s">
        <v>469</v>
      </c>
      <c r="E156" s="4" t="s">
        <v>29</v>
      </c>
      <c r="F156" s="4" t="s">
        <v>26</v>
      </c>
      <c r="G156" s="4" t="s">
        <v>64</v>
      </c>
      <c r="H156" s="4">
        <v>10.0</v>
      </c>
      <c r="I156" s="4">
        <v>0.0</v>
      </c>
      <c r="J156" s="4" t="s">
        <v>90</v>
      </c>
      <c r="K156" s="6">
        <f t="shared" si="1"/>
        <v>7.692307692</v>
      </c>
      <c r="L156" s="4" t="s">
        <v>26</v>
      </c>
      <c r="M156" s="4" t="s">
        <v>26</v>
      </c>
      <c r="N156" s="4">
        <v>5.0</v>
      </c>
      <c r="O156" s="4" t="s">
        <v>26</v>
      </c>
      <c r="P156" s="4" t="s">
        <v>26</v>
      </c>
      <c r="Q156" s="4" t="s">
        <v>65</v>
      </c>
      <c r="R156" s="4" t="s">
        <v>26</v>
      </c>
      <c r="S156" s="4" t="s">
        <v>65</v>
      </c>
      <c r="T156" s="4">
        <v>85.0</v>
      </c>
      <c r="U156" s="4">
        <v>1.3</v>
      </c>
      <c r="V156" s="4" t="s">
        <v>26</v>
      </c>
      <c r="W156" s="6"/>
      <c r="X156" s="6" t="str">
        <f>IFERROR(__xludf.DUMMYFUNCTION("""COMPUTED_VALUE"""),"")</f>
        <v/>
      </c>
      <c r="Y156" s="4" t="s">
        <v>41</v>
      </c>
      <c r="Z156" s="6"/>
      <c r="AA156" s="6"/>
    </row>
    <row r="157">
      <c r="A157" s="7" t="s">
        <v>470</v>
      </c>
      <c r="B157" s="7" t="s">
        <v>26</v>
      </c>
      <c r="C157" s="7" t="s">
        <v>460</v>
      </c>
      <c r="D157" s="8" t="s">
        <v>471</v>
      </c>
      <c r="E157" s="7" t="s">
        <v>45</v>
      </c>
      <c r="F157" s="7" t="s">
        <v>26</v>
      </c>
      <c r="G157" s="7" t="s">
        <v>26</v>
      </c>
      <c r="H157" s="7">
        <v>12.0</v>
      </c>
      <c r="I157" s="7">
        <v>0.0</v>
      </c>
      <c r="J157" s="7" t="s">
        <v>58</v>
      </c>
      <c r="K157" s="9">
        <f t="shared" si="1"/>
        <v>10</v>
      </c>
      <c r="L157" s="7" t="s">
        <v>26</v>
      </c>
      <c r="M157" s="7" t="s">
        <v>26</v>
      </c>
      <c r="N157" s="7">
        <v>25.0</v>
      </c>
      <c r="O157" s="7" t="s">
        <v>26</v>
      </c>
      <c r="P157" s="7" t="s">
        <v>26</v>
      </c>
      <c r="Q157" s="7" t="s">
        <v>26</v>
      </c>
      <c r="R157" s="7" t="s">
        <v>26</v>
      </c>
      <c r="S157" s="7" t="s">
        <v>26</v>
      </c>
      <c r="T157" s="7">
        <v>60.0</v>
      </c>
      <c r="U157" s="7">
        <v>1.2</v>
      </c>
      <c r="V157" s="7" t="s">
        <v>26</v>
      </c>
      <c r="W157" s="9"/>
      <c r="X157" s="9" t="str">
        <f>IFERROR(__xludf.DUMMYFUNCTION("""COMPUTED_VALUE"""),"F")</f>
        <v>F</v>
      </c>
      <c r="Y157" s="7" t="s">
        <v>41</v>
      </c>
      <c r="Z157" s="9"/>
      <c r="AA157" s="9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6"/>
      <c r="X158" s="4" t="str">
        <f>IFERROR(__xludf.DUMMYFUNCTION("""COMPUTED_VALUE"""),"")</f>
        <v/>
      </c>
      <c r="Y158" s="4"/>
      <c r="Z158" s="6"/>
      <c r="AA158" s="6"/>
    </row>
    <row r="159">
      <c r="A159" s="7"/>
      <c r="B159" s="7"/>
      <c r="C159" s="7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9" t="str">
        <f>IFERROR(__xludf.DUMMYFUNCTION("""COMPUTED_VALUE"""),"")</f>
        <v/>
      </c>
      <c r="Y159" s="7"/>
      <c r="Z159" s="9"/>
      <c r="AA159" s="9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 t="str">
        <f>IFERROR(__xludf.DUMMYFUNCTION("""COMPUTED_VALUE"""),"")</f>
        <v/>
      </c>
      <c r="Y160" s="4"/>
      <c r="Z160" s="6"/>
      <c r="AA160" s="6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 t="str">
        <f>IFERROR(__xludf.DUMMYFUNCTION("""COMPUTED_VALUE"""),"")</f>
        <v/>
      </c>
      <c r="Y161" s="7"/>
      <c r="Z161" s="9"/>
      <c r="AA161" s="9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 t="str">
        <f>IFERROR(__xludf.DUMMYFUNCTION("""COMPUTED_VALUE"""),"")</f>
        <v/>
      </c>
      <c r="Y162" s="4"/>
      <c r="Z162" s="6"/>
      <c r="AA162" s="6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 t="str">
        <f>IFERROR(__xludf.DUMMYFUNCTION("""COMPUTED_VALUE"""),"")</f>
        <v/>
      </c>
      <c r="Y163" s="7"/>
      <c r="Z163" s="9"/>
      <c r="AA163" s="9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 t="str">
        <f>IFERROR(__xludf.DUMMYFUNCTION("""COMPUTED_VALUE"""),"")</f>
        <v/>
      </c>
      <c r="Y164" s="4"/>
      <c r="Z164" s="6"/>
      <c r="AA164" s="6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 t="str">
        <f>IFERROR(__xludf.DUMMYFUNCTION("""COMPUTED_VALUE"""),"")</f>
        <v/>
      </c>
      <c r="Y165" s="7"/>
      <c r="Z165" s="9"/>
      <c r="AA165" s="9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 t="str">
        <f>IFERROR(__xludf.DUMMYFUNCTION("""COMPUTED_VALUE"""),"")</f>
        <v/>
      </c>
      <c r="Y166" s="4"/>
      <c r="Z166" s="6"/>
      <c r="AA166" s="6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 t="str">
        <f>IFERROR(__xludf.DUMMYFUNCTION("""COMPUTED_VALUE"""),"")</f>
        <v/>
      </c>
      <c r="Y167" s="7"/>
      <c r="Z167" s="9"/>
      <c r="AA167" s="9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 t="str">
        <f>IFERROR(__xludf.DUMMYFUNCTION("""COMPUTED_VALUE"""),"")</f>
        <v/>
      </c>
      <c r="Y168" s="4"/>
      <c r="Z168" s="6"/>
      <c r="AA168" s="6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 t="str">
        <f>IFERROR(__xludf.DUMMYFUNCTION("""COMPUTED_VALUE"""),"")</f>
        <v/>
      </c>
      <c r="Y169" s="7"/>
      <c r="Z169" s="9"/>
      <c r="AA169" s="9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 t="str">
        <f>IFERROR(__xludf.DUMMYFUNCTION("""COMPUTED_VALUE"""),"")</f>
        <v/>
      </c>
      <c r="Y170" s="4"/>
      <c r="Z170" s="6"/>
      <c r="AA170" s="6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 t="str">
        <f>IFERROR(__xludf.DUMMYFUNCTION("""COMPUTED_VALUE"""),"")</f>
        <v/>
      </c>
      <c r="Y171" s="7"/>
      <c r="Z171" s="9"/>
      <c r="AA171" s="9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 t="str">
        <f>IFERROR(__xludf.DUMMYFUNCTION("""COMPUTED_VALUE"""),"")</f>
        <v/>
      </c>
      <c r="Y172" s="4"/>
      <c r="Z172" s="6"/>
      <c r="AA172" s="6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 t="str">
        <f>IFERROR(__xludf.DUMMYFUNCTION("""COMPUTED_VALUE"""),"")</f>
        <v/>
      </c>
      <c r="Y173" s="7"/>
      <c r="Z173" s="9"/>
      <c r="AA173" s="9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 t="str">
        <f>IFERROR(__xludf.DUMMYFUNCTION("""COMPUTED_VALUE"""),"")</f>
        <v/>
      </c>
      <c r="Y174" s="4"/>
      <c r="Z174" s="6"/>
      <c r="AA174" s="6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 t="str">
        <f>IFERROR(__xludf.DUMMYFUNCTION("""COMPUTED_VALUE"""),"")</f>
        <v/>
      </c>
      <c r="Y175" s="7"/>
      <c r="Z175" s="9"/>
      <c r="AA175" s="9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 t="str">
        <f>IFERROR(__xludf.DUMMYFUNCTION("""COMPUTED_VALUE"""),"")</f>
        <v/>
      </c>
      <c r="Y176" s="4"/>
      <c r="Z176" s="6"/>
      <c r="AA176" s="6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 t="str">
        <f>IFERROR(__xludf.DUMMYFUNCTION("""COMPUTED_VALUE"""),"")</f>
        <v/>
      </c>
      <c r="Y177" s="7"/>
      <c r="Z177" s="9"/>
      <c r="AA177" s="9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 t="str">
        <f>IFERROR(__xludf.DUMMYFUNCTION("""COMPUTED_VALUE"""),"")</f>
        <v/>
      </c>
      <c r="Y178" s="4"/>
      <c r="Z178" s="6"/>
      <c r="AA178" s="6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 t="str">
        <f>IFERROR(__xludf.DUMMYFUNCTION("""COMPUTED_VALUE"""),"")</f>
        <v/>
      </c>
      <c r="Y179" s="7"/>
      <c r="Z179" s="9"/>
      <c r="AA179" s="9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 t="str">
        <f>IFERROR(__xludf.DUMMYFUNCTION("""COMPUTED_VALUE"""),"")</f>
        <v/>
      </c>
      <c r="Y180" s="4"/>
      <c r="Z180" s="6"/>
      <c r="AA180" s="6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 t="str">
        <f>IFERROR(__xludf.DUMMYFUNCTION("""COMPUTED_VALUE"""),"")</f>
        <v/>
      </c>
      <c r="Y181" s="7"/>
      <c r="Z181" s="9"/>
      <c r="AA181" s="9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 t="str">
        <f>IFERROR(__xludf.DUMMYFUNCTION("""COMPUTED_VALUE"""),"")</f>
        <v/>
      </c>
      <c r="Y182" s="4"/>
      <c r="Z182" s="6"/>
      <c r="AA182" s="6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 t="str">
        <f>IFERROR(__xludf.DUMMYFUNCTION("""COMPUTED_VALUE"""),"")</f>
        <v/>
      </c>
      <c r="Y183" s="7"/>
      <c r="Z183" s="9"/>
      <c r="AA183" s="9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 t="str">
        <f>IFERROR(__xludf.DUMMYFUNCTION("""COMPUTED_VALUE"""),"")</f>
        <v/>
      </c>
      <c r="Y184" s="4"/>
      <c r="Z184" s="6"/>
      <c r="AA184" s="6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 t="str">
        <f>IFERROR(__xludf.DUMMYFUNCTION("""COMPUTED_VALUE"""),"")</f>
        <v/>
      </c>
      <c r="Y185" s="7"/>
      <c r="Z185" s="9"/>
      <c r="AA185" s="9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 t="str">
        <f>IFERROR(__xludf.DUMMYFUNCTION("""COMPUTED_VALUE"""),"")</f>
        <v/>
      </c>
      <c r="Y186" s="4"/>
      <c r="Z186" s="6"/>
      <c r="AA186" s="6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 t="str">
        <f>IFERROR(__xludf.DUMMYFUNCTION("""COMPUTED_VALUE"""),"")</f>
        <v/>
      </c>
      <c r="Y187" s="7"/>
      <c r="Z187" s="9"/>
      <c r="AA187" s="9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tr">
        <f>IFERROR(__xludf.DUMMYFUNCTION("""COMPUTED_VALUE"""),"")</f>
        <v/>
      </c>
      <c r="Y188" s="4"/>
      <c r="Z188" s="6"/>
      <c r="AA188" s="6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 t="str">
        <f>IFERROR(__xludf.DUMMYFUNCTION("""COMPUTED_VALUE"""),"")</f>
        <v/>
      </c>
      <c r="Y189" s="7"/>
      <c r="Z189" s="9"/>
      <c r="AA189" s="9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 t="str">
        <f>IFERROR(__xludf.DUMMYFUNCTION("""COMPUTED_VALUE"""),"")</f>
        <v/>
      </c>
      <c r="Y190" s="4"/>
      <c r="Z190" s="6"/>
      <c r="AA190" s="6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 t="str">
        <f>IFERROR(__xludf.DUMMYFUNCTION("""COMPUTED_VALUE"""),"")</f>
        <v/>
      </c>
      <c r="Y191" s="7"/>
      <c r="Z191" s="9"/>
      <c r="AA191" s="9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 t="str">
        <f>IFERROR(__xludf.DUMMYFUNCTION("""COMPUTED_VALUE"""),"")</f>
        <v/>
      </c>
      <c r="Y192" s="4"/>
      <c r="Z192" s="6"/>
      <c r="AA192" s="6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 t="str">
        <f>IFERROR(__xludf.DUMMYFUNCTION("""COMPUTED_VALUE"""),"")</f>
        <v/>
      </c>
      <c r="Y193" s="7"/>
      <c r="Z193" s="9"/>
      <c r="AA193" s="9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 t="str">
        <f>IFERROR(__xludf.DUMMYFUNCTION("""COMPUTED_VALUE"""),"")</f>
        <v/>
      </c>
      <c r="Y194" s="4"/>
      <c r="Z194" s="6"/>
      <c r="AA194" s="6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 t="str">
        <f>IFERROR(__xludf.DUMMYFUNCTION("""COMPUTED_VALUE"""),"")</f>
        <v/>
      </c>
      <c r="Y195" s="7"/>
      <c r="Z195" s="9"/>
      <c r="AA195" s="9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 t="str">
        <f>IFERROR(__xludf.DUMMYFUNCTION("""COMPUTED_VALUE"""),"")</f>
        <v/>
      </c>
      <c r="Y196" s="4"/>
      <c r="Z196" s="6"/>
      <c r="AA196" s="6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 t="str">
        <f>IFERROR(__xludf.DUMMYFUNCTION("""COMPUTED_VALUE"""),"")</f>
        <v/>
      </c>
      <c r="Y197" s="7"/>
      <c r="Z197" s="9"/>
      <c r="AA197" s="9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 t="str">
        <f>IFERROR(__xludf.DUMMYFUNCTION("""COMPUTED_VALUE"""),"")</f>
        <v/>
      </c>
      <c r="Y198" s="4"/>
      <c r="Z198" s="6"/>
      <c r="AA198" s="6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 t="str">
        <f>IFERROR(__xludf.DUMMYFUNCTION("""COMPUTED_VALUE"""),"")</f>
        <v/>
      </c>
      <c r="Y199" s="7"/>
      <c r="Z199" s="9"/>
      <c r="AA199" s="9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 t="str">
        <f>IFERROR(__xludf.DUMMYFUNCTION("""COMPUTED_VALUE"""),"")</f>
        <v/>
      </c>
      <c r="Y200" s="4"/>
      <c r="Z200" s="6"/>
      <c r="AA200" s="6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 t="str">
        <f>IFERROR(__xludf.DUMMYFUNCTION("""COMPUTED_VALUE"""),"")</f>
        <v/>
      </c>
      <c r="Y201" s="7"/>
      <c r="Z201" s="9"/>
      <c r="AA201" s="9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 t="str">
        <f>IFERROR(__xludf.DUMMYFUNCTION("""COMPUTED_VALUE"""),"")</f>
        <v/>
      </c>
      <c r="Y202" s="4"/>
      <c r="Z202" s="6"/>
      <c r="AA202" s="6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 t="str">
        <f>IFERROR(__xludf.DUMMYFUNCTION("""COMPUTED_VALUE"""),"")</f>
        <v/>
      </c>
      <c r="Y203" s="7"/>
      <c r="Z203" s="9"/>
      <c r="AA203" s="9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 t="str">
        <f>IFERROR(__xludf.DUMMYFUNCTION("""COMPUTED_VALUE"""),"")</f>
        <v/>
      </c>
      <c r="Y204" s="4"/>
      <c r="Z204" s="6"/>
      <c r="AA204" s="6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 t="str">
        <f>IFERROR(__xludf.DUMMYFUNCTION("""COMPUTED_VALUE"""),"")</f>
        <v/>
      </c>
      <c r="Y205" s="7"/>
      <c r="Z205" s="9"/>
      <c r="AA205" s="9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 t="str">
        <f>IFERROR(__xludf.DUMMYFUNCTION("""COMPUTED_VALUE"""),"")</f>
        <v/>
      </c>
      <c r="Y206" s="4"/>
      <c r="Z206" s="6"/>
      <c r="AA206" s="6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 t="str">
        <f>IFERROR(__xludf.DUMMYFUNCTION("""COMPUTED_VALUE"""),"")</f>
        <v/>
      </c>
      <c r="Y207" s="7"/>
      <c r="Z207" s="9"/>
      <c r="AA207" s="9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 t="str">
        <f>IFERROR(__xludf.DUMMYFUNCTION("""COMPUTED_VALUE"""),"")</f>
        <v/>
      </c>
      <c r="Y208" s="4"/>
      <c r="Z208" s="6"/>
      <c r="AA208" s="6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 t="str">
        <f>IFERROR(__xludf.DUMMYFUNCTION("""COMPUTED_VALUE"""),"")</f>
        <v/>
      </c>
      <c r="Y209" s="7"/>
      <c r="Z209" s="9"/>
      <c r="AA209" s="9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 t="str">
        <f>IFERROR(__xludf.DUMMYFUNCTION("""COMPUTED_VALUE"""),"")</f>
        <v/>
      </c>
      <c r="Y210" s="4"/>
      <c r="Z210" s="6"/>
      <c r="AA210" s="6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 t="str">
        <f>IFERROR(__xludf.DUMMYFUNCTION("""COMPUTED_VALUE"""),"")</f>
        <v/>
      </c>
      <c r="Y211" s="7"/>
      <c r="Z211" s="9"/>
      <c r="AA211" s="9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 t="str">
        <f>IFERROR(__xludf.DUMMYFUNCTION("""COMPUTED_VALUE"""),"")</f>
        <v/>
      </c>
      <c r="Y212" s="4"/>
      <c r="Z212" s="6"/>
      <c r="AA212" s="6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 t="str">
        <f>IFERROR(__xludf.DUMMYFUNCTION("""COMPUTED_VALUE"""),"")</f>
        <v/>
      </c>
      <c r="Y213" s="7"/>
      <c r="Z213" s="9"/>
      <c r="AA213" s="9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 t="str">
        <f>IFERROR(__xludf.DUMMYFUNCTION("""COMPUTED_VALUE"""),"")</f>
        <v/>
      </c>
      <c r="Y214" s="4"/>
      <c r="Z214" s="6"/>
      <c r="AA214" s="6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 t="str">
        <f>IFERROR(__xludf.DUMMYFUNCTION("""COMPUTED_VALUE"""),"")</f>
        <v/>
      </c>
      <c r="Y215" s="7"/>
      <c r="Z215" s="9"/>
      <c r="AA215" s="9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 t="str">
        <f>IFERROR(__xludf.DUMMYFUNCTION("""COMPUTED_VALUE"""),"")</f>
        <v/>
      </c>
      <c r="Y216" s="4"/>
      <c r="Z216" s="6"/>
      <c r="AA216" s="6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 t="str">
        <f>IFERROR(__xludf.DUMMYFUNCTION("""COMPUTED_VALUE"""),"")</f>
        <v/>
      </c>
      <c r="Y217" s="7"/>
      <c r="Z217" s="9"/>
      <c r="AA217" s="9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 t="str">
        <f>IFERROR(__xludf.DUMMYFUNCTION("""COMPUTED_VALUE"""),"")</f>
        <v/>
      </c>
      <c r="Y218" s="4"/>
      <c r="Z218" s="6"/>
      <c r="AA218" s="6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 t="str">
        <f>IFERROR(__xludf.DUMMYFUNCTION("""COMPUTED_VALUE"""),"")</f>
        <v/>
      </c>
      <c r="Y219" s="7"/>
      <c r="Z219" s="9"/>
      <c r="AA219" s="9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 t="str">
        <f>IFERROR(__xludf.DUMMYFUNCTION("""COMPUTED_VALUE"""),"")</f>
        <v/>
      </c>
      <c r="Y220" s="4"/>
      <c r="Z220" s="6"/>
      <c r="AA220" s="6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 t="str">
        <f>IFERROR(__xludf.DUMMYFUNCTION("""COMPUTED_VALUE"""),"")</f>
        <v/>
      </c>
      <c r="Y221" s="7"/>
      <c r="Z221" s="9"/>
      <c r="AA221" s="9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 t="str">
        <f>IFERROR(__xludf.DUMMYFUNCTION("""COMPUTED_VALUE"""),"")</f>
        <v/>
      </c>
      <c r="Y222" s="4"/>
      <c r="Z222" s="6"/>
      <c r="AA222" s="6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 t="str">
        <f>IFERROR(__xludf.DUMMYFUNCTION("""COMPUTED_VALUE"""),"")</f>
        <v/>
      </c>
      <c r="Y223" s="7"/>
      <c r="Z223" s="9"/>
      <c r="AA223" s="9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 t="str">
        <f>IFERROR(__xludf.DUMMYFUNCTION("""COMPUTED_VALUE"""),"")</f>
        <v/>
      </c>
      <c r="Y224" s="4"/>
      <c r="Z224" s="6"/>
      <c r="AA224" s="6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 t="str">
        <f>IFERROR(__xludf.DUMMYFUNCTION("""COMPUTED_VALUE"""),"")</f>
        <v/>
      </c>
      <c r="Y225" s="7"/>
      <c r="Z225" s="9"/>
      <c r="AA225" s="9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 t="str">
        <f>IFERROR(__xludf.DUMMYFUNCTION("""COMPUTED_VALUE"""),"")</f>
        <v/>
      </c>
      <c r="Y226" s="4"/>
      <c r="Z226" s="6"/>
      <c r="AA226" s="6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 t="str">
        <f>IFERROR(__xludf.DUMMYFUNCTION("""COMPUTED_VALUE"""),"")</f>
        <v/>
      </c>
      <c r="Y227" s="7"/>
      <c r="Z227" s="9"/>
      <c r="AA227" s="9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 t="str">
        <f>IFERROR(__xludf.DUMMYFUNCTION("""COMPUTED_VALUE"""),"")</f>
        <v/>
      </c>
      <c r="Y228" s="4"/>
      <c r="Z228" s="6"/>
      <c r="AA228" s="6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 t="str">
        <f>IFERROR(__xludf.DUMMYFUNCTION("""COMPUTED_VALUE"""),"")</f>
        <v/>
      </c>
      <c r="Y229" s="7"/>
      <c r="Z229" s="9"/>
      <c r="AA229" s="9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 t="str">
        <f>IFERROR(__xludf.DUMMYFUNCTION("""COMPUTED_VALUE"""),"")</f>
        <v/>
      </c>
      <c r="Y230" s="4"/>
      <c r="Z230" s="6"/>
      <c r="AA230" s="6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 t="str">
        <f>IFERROR(__xludf.DUMMYFUNCTION("""COMPUTED_VALUE"""),"")</f>
        <v/>
      </c>
      <c r="Y231" s="7"/>
      <c r="Z231" s="9"/>
      <c r="AA231" s="9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 t="str">
        <f>IFERROR(__xludf.DUMMYFUNCTION("""COMPUTED_VALUE"""),"")</f>
        <v/>
      </c>
      <c r="Y232" s="4"/>
      <c r="Z232" s="6"/>
      <c r="AA232" s="6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 t="str">
        <f>IFERROR(__xludf.DUMMYFUNCTION("""COMPUTED_VALUE"""),"")</f>
        <v/>
      </c>
      <c r="Y233" s="7"/>
      <c r="Z233" s="9"/>
      <c r="AA233" s="9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 t="str">
        <f>IFERROR(__xludf.DUMMYFUNCTION("""COMPUTED_VALUE"""),"")</f>
        <v/>
      </c>
      <c r="Y234" s="4"/>
      <c r="Z234" s="6"/>
      <c r="AA234" s="6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 t="str">
        <f>IFERROR(__xludf.DUMMYFUNCTION("""COMPUTED_VALUE"""),"")</f>
        <v/>
      </c>
      <c r="Y235" s="7"/>
      <c r="Z235" s="9"/>
      <c r="AA235" s="9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 t="str">
        <f>IFERROR(__xludf.DUMMYFUNCTION("""COMPUTED_VALUE"""),"")</f>
        <v/>
      </c>
      <c r="Y236" s="4"/>
      <c r="Z236" s="6"/>
      <c r="AA236" s="6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 t="str">
        <f>IFERROR(__xludf.DUMMYFUNCTION("""COMPUTED_VALUE"""),"")</f>
        <v/>
      </c>
      <c r="Y237" s="7"/>
      <c r="Z237" s="9"/>
      <c r="AA237" s="9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 t="str">
        <f>IFERROR(__xludf.DUMMYFUNCTION("""COMPUTED_VALUE"""),"")</f>
        <v/>
      </c>
      <c r="Y238" s="4"/>
      <c r="Z238" s="6"/>
      <c r="AA238" s="6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 t="str">
        <f>IFERROR(__xludf.DUMMYFUNCTION("""COMPUTED_VALUE"""),"")</f>
        <v/>
      </c>
      <c r="Y239" s="7"/>
      <c r="Z239" s="9"/>
      <c r="AA239" s="9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 t="str">
        <f>IFERROR(__xludf.DUMMYFUNCTION("""COMPUTED_VALUE"""),"")</f>
        <v/>
      </c>
      <c r="Y240" s="4"/>
      <c r="Z240" s="6"/>
      <c r="AA240" s="6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 t="str">
        <f>IFERROR(__xludf.DUMMYFUNCTION("""COMPUTED_VALUE"""),"")</f>
        <v/>
      </c>
      <c r="Y241" s="7"/>
      <c r="Z241" s="9"/>
      <c r="AA241" s="9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 t="str">
        <f>IFERROR(__xludf.DUMMYFUNCTION("""COMPUTED_VALUE"""),"")</f>
        <v/>
      </c>
      <c r="Y242" s="4"/>
      <c r="Z242" s="6"/>
      <c r="AA242" s="6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 t="str">
        <f>IFERROR(__xludf.DUMMYFUNCTION("""COMPUTED_VALUE"""),"")</f>
        <v/>
      </c>
      <c r="Y243" s="7"/>
      <c r="Z243" s="9"/>
      <c r="AA243" s="9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 t="str">
        <f>IFERROR(__xludf.DUMMYFUNCTION("""COMPUTED_VALUE"""),"")</f>
        <v/>
      </c>
      <c r="Y244" s="4"/>
      <c r="Z244" s="6"/>
      <c r="AA244" s="6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 t="str">
        <f>IFERROR(__xludf.DUMMYFUNCTION("""COMPUTED_VALUE"""),"")</f>
        <v/>
      </c>
      <c r="Y245" s="7"/>
      <c r="Z245" s="9"/>
      <c r="AA245" s="9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 t="str">
        <f>IFERROR(__xludf.DUMMYFUNCTION("""COMPUTED_VALUE"""),"")</f>
        <v/>
      </c>
      <c r="Y246" s="4"/>
      <c r="Z246" s="6"/>
      <c r="AA246" s="6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 t="str">
        <f>IFERROR(__xludf.DUMMYFUNCTION("""COMPUTED_VALUE"""),"")</f>
        <v/>
      </c>
      <c r="Y247" s="7"/>
      <c r="Z247" s="9"/>
      <c r="AA247" s="9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 t="str">
        <f>IFERROR(__xludf.DUMMYFUNCTION("""COMPUTED_VALUE"""),"")</f>
        <v/>
      </c>
      <c r="Y248" s="4"/>
      <c r="Z248" s="6"/>
      <c r="AA248" s="6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 t="str">
        <f>IFERROR(__xludf.DUMMYFUNCTION("""COMPUTED_VALUE"""),"")</f>
        <v/>
      </c>
      <c r="Y249" s="7"/>
      <c r="Z249" s="9"/>
      <c r="AA249" s="9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 t="str">
        <f>IFERROR(__xludf.DUMMYFUNCTION("""COMPUTED_VALUE"""),"")</f>
        <v/>
      </c>
      <c r="Y250" s="4"/>
      <c r="Z250" s="6"/>
      <c r="AA250" s="6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 t="str">
        <f>IFERROR(__xludf.DUMMYFUNCTION("""COMPUTED_VALUE"""),"")</f>
        <v/>
      </c>
      <c r="Y251" s="7"/>
      <c r="Z251" s="9"/>
      <c r="AA251" s="9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 t="str">
        <f>IFERROR(__xludf.DUMMYFUNCTION("""COMPUTED_VALUE"""),"")</f>
        <v/>
      </c>
      <c r="Y252" s="4"/>
      <c r="Z252" s="6"/>
      <c r="AA252" s="6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 t="str">
        <f>IFERROR(__xludf.DUMMYFUNCTION("""COMPUTED_VALUE"""),"")</f>
        <v/>
      </c>
      <c r="Y253" s="7"/>
      <c r="Z253" s="9"/>
      <c r="AA253" s="9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 t="str">
        <f>IFERROR(__xludf.DUMMYFUNCTION("""COMPUTED_VALUE"""),"")</f>
        <v/>
      </c>
      <c r="Y254" s="4"/>
      <c r="Z254" s="6"/>
      <c r="AA254" s="6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 t="str">
        <f>IFERROR(__xludf.DUMMYFUNCTION("""COMPUTED_VALUE"""),"")</f>
        <v/>
      </c>
      <c r="Y255" s="7"/>
      <c r="Z255" s="9"/>
      <c r="AA255" s="9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 t="str">
        <f>IFERROR(__xludf.DUMMYFUNCTION("""COMPUTED_VALUE"""),"")</f>
        <v/>
      </c>
      <c r="Y256" s="4"/>
      <c r="Z256" s="6"/>
      <c r="AA256" s="6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 t="str">
        <f>IFERROR(__xludf.DUMMYFUNCTION("""COMPUTED_VALUE"""),"")</f>
        <v/>
      </c>
      <c r="Y257" s="7"/>
      <c r="Z257" s="9"/>
      <c r="AA257" s="9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 t="str">
        <f>IFERROR(__xludf.DUMMYFUNCTION("""COMPUTED_VALUE"""),"")</f>
        <v/>
      </c>
      <c r="Y258" s="4"/>
      <c r="Z258" s="6"/>
      <c r="AA258" s="6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 t="str">
        <f>IFERROR(__xludf.DUMMYFUNCTION("""COMPUTED_VALUE"""),"")</f>
        <v/>
      </c>
      <c r="Y259" s="7"/>
      <c r="Z259" s="9"/>
      <c r="AA259" s="9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 t="str">
        <f>IFERROR(__xludf.DUMMYFUNCTION("""COMPUTED_VALUE"""),"")</f>
        <v/>
      </c>
      <c r="Y260" s="4"/>
      <c r="Z260" s="6"/>
      <c r="AA260" s="6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 t="str">
        <f>IFERROR(__xludf.DUMMYFUNCTION("""COMPUTED_VALUE"""),"")</f>
        <v/>
      </c>
      <c r="Y261" s="7"/>
      <c r="Z261" s="9"/>
      <c r="AA261" s="9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 t="str">
        <f>IFERROR(__xludf.DUMMYFUNCTION("""COMPUTED_VALUE"""),"")</f>
        <v/>
      </c>
      <c r="Y262" s="4"/>
      <c r="Z262" s="6"/>
      <c r="AA262" s="6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 t="str">
        <f>IFERROR(__xludf.DUMMYFUNCTION("""COMPUTED_VALUE"""),"")</f>
        <v/>
      </c>
      <c r="Y263" s="7"/>
      <c r="Z263" s="9"/>
      <c r="AA263" s="9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 t="str">
        <f>IFERROR(__xludf.DUMMYFUNCTION("""COMPUTED_VALUE"""),"")</f>
        <v/>
      </c>
      <c r="Y264" s="4"/>
      <c r="Z264" s="6"/>
      <c r="AA264" s="6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 t="str">
        <f>IFERROR(__xludf.DUMMYFUNCTION("""COMPUTED_VALUE"""),"")</f>
        <v/>
      </c>
      <c r="Y265" s="7"/>
      <c r="Z265" s="9"/>
      <c r="AA265" s="9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 t="str">
        <f>IFERROR(__xludf.DUMMYFUNCTION("""COMPUTED_VALUE"""),"")</f>
        <v/>
      </c>
      <c r="Y266" s="4"/>
      <c r="Z266" s="6"/>
      <c r="AA266" s="6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 t="str">
        <f>IFERROR(__xludf.DUMMYFUNCTION("""COMPUTED_VALUE"""),"")</f>
        <v/>
      </c>
      <c r="Y267" s="7"/>
      <c r="Z267" s="9"/>
      <c r="AA267" s="9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 t="str">
        <f>IFERROR(__xludf.DUMMYFUNCTION("""COMPUTED_VALUE"""),"")</f>
        <v/>
      </c>
      <c r="Y268" s="4"/>
      <c r="Z268" s="6"/>
      <c r="AA268" s="6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 t="str">
        <f>IFERROR(__xludf.DUMMYFUNCTION("""COMPUTED_VALUE"""),"")</f>
        <v/>
      </c>
      <c r="Y269" s="7"/>
      <c r="Z269" s="9"/>
      <c r="AA269" s="9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 t="str">
        <f>IFERROR(__xludf.DUMMYFUNCTION("""COMPUTED_VALUE"""),"")</f>
        <v/>
      </c>
      <c r="Y270" s="4"/>
      <c r="Z270" s="6"/>
      <c r="AA270" s="6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 t="str">
        <f>IFERROR(__xludf.DUMMYFUNCTION("""COMPUTED_VALUE"""),"")</f>
        <v/>
      </c>
      <c r="Y271" s="7"/>
      <c r="Z271" s="9"/>
      <c r="AA271" s="9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 t="str">
        <f>IFERROR(__xludf.DUMMYFUNCTION("""COMPUTED_VALUE"""),"")</f>
        <v/>
      </c>
      <c r="Y272" s="4"/>
      <c r="Z272" s="6"/>
      <c r="AA272" s="6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 t="str">
        <f>IFERROR(__xludf.DUMMYFUNCTION("""COMPUTED_VALUE"""),"")</f>
        <v/>
      </c>
      <c r="Y273" s="7"/>
      <c r="Z273" s="9"/>
      <c r="AA273" s="9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 t="str">
        <f>IFERROR(__xludf.DUMMYFUNCTION("""COMPUTED_VALUE"""),"")</f>
        <v/>
      </c>
      <c r="Y274" s="4"/>
      <c r="Z274" s="6"/>
      <c r="AA274" s="6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 t="str">
        <f>IFERROR(__xludf.DUMMYFUNCTION("""COMPUTED_VALUE"""),"")</f>
        <v/>
      </c>
      <c r="Y275" s="7"/>
      <c r="Z275" s="9"/>
      <c r="AA275" s="9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 t="str">
        <f>IFERROR(__xludf.DUMMYFUNCTION("""COMPUTED_VALUE"""),"")</f>
        <v/>
      </c>
      <c r="Y276" s="4"/>
      <c r="Z276" s="6"/>
      <c r="AA276" s="6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 t="str">
        <f>IFERROR(__xludf.DUMMYFUNCTION("""COMPUTED_VALUE"""),"")</f>
        <v/>
      </c>
      <c r="Y277" s="7"/>
      <c r="Z277" s="9"/>
      <c r="AA277" s="9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 t="str">
        <f>IFERROR(__xludf.DUMMYFUNCTION("""COMPUTED_VALUE"""),"")</f>
        <v/>
      </c>
      <c r="Y278" s="4"/>
      <c r="Z278" s="6"/>
      <c r="AA278" s="6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 t="str">
        <f>IFERROR(__xludf.DUMMYFUNCTION("""COMPUTED_VALUE"""),"")</f>
        <v/>
      </c>
      <c r="Y279" s="7"/>
      <c r="Z279" s="9"/>
      <c r="AA279" s="9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 t="str">
        <f>IFERROR(__xludf.DUMMYFUNCTION("""COMPUTED_VALUE"""),"")</f>
        <v/>
      </c>
      <c r="Y280" s="4"/>
      <c r="Z280" s="6"/>
      <c r="AA280" s="6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 t="str">
        <f>IFERROR(__xludf.DUMMYFUNCTION("""COMPUTED_VALUE"""),"")</f>
        <v/>
      </c>
      <c r="Y281" s="7"/>
      <c r="Z281" s="9"/>
      <c r="AA281" s="9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 t="str">
        <f>IFERROR(__xludf.DUMMYFUNCTION("""COMPUTED_VALUE"""),"")</f>
        <v/>
      </c>
      <c r="Y282" s="4"/>
      <c r="Z282" s="6"/>
      <c r="AA282" s="6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 t="str">
        <f>IFERROR(__xludf.DUMMYFUNCTION("""COMPUTED_VALUE"""),"")</f>
        <v/>
      </c>
      <c r="Y283" s="7"/>
      <c r="Z283" s="9"/>
      <c r="AA283" s="9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 t="str">
        <f>IFERROR(__xludf.DUMMYFUNCTION("""COMPUTED_VALUE"""),"")</f>
        <v/>
      </c>
      <c r="Y284" s="4"/>
      <c r="Z284" s="6"/>
      <c r="AA284" s="6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 t="str">
        <f>IFERROR(__xludf.DUMMYFUNCTION("""COMPUTED_VALUE"""),"")</f>
        <v/>
      </c>
      <c r="Y285" s="7"/>
      <c r="Z285" s="9"/>
      <c r="AA285" s="9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 t="str">
        <f>IFERROR(__xludf.DUMMYFUNCTION("""COMPUTED_VALUE"""),"")</f>
        <v/>
      </c>
      <c r="Y286" s="4"/>
      <c r="Z286" s="6"/>
      <c r="AA286" s="6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 t="str">
        <f>IFERROR(__xludf.DUMMYFUNCTION("""COMPUTED_VALUE"""),"")</f>
        <v/>
      </c>
      <c r="Y287" s="7"/>
      <c r="Z287" s="9"/>
      <c r="AA287" s="9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 t="str">
        <f>IFERROR(__xludf.DUMMYFUNCTION("""COMPUTED_VALUE"""),"")</f>
        <v/>
      </c>
      <c r="Y288" s="4"/>
      <c r="Z288" s="6"/>
      <c r="AA288" s="6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 t="str">
        <f>IFERROR(__xludf.DUMMYFUNCTION("""COMPUTED_VALUE"""),"")</f>
        <v/>
      </c>
      <c r="Y289" s="7"/>
      <c r="Z289" s="9"/>
      <c r="AA289" s="9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 t="str">
        <f>IFERROR(__xludf.DUMMYFUNCTION("""COMPUTED_VALUE"""),"")</f>
        <v/>
      </c>
      <c r="Y290" s="4"/>
      <c r="Z290" s="6"/>
      <c r="AA290" s="6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 t="str">
        <f>IFERROR(__xludf.DUMMYFUNCTION("""COMPUTED_VALUE"""),"")</f>
        <v/>
      </c>
      <c r="Y291" s="7"/>
      <c r="Z291" s="9"/>
      <c r="AA291" s="9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 t="str">
        <f>IFERROR(__xludf.DUMMYFUNCTION("""COMPUTED_VALUE"""),"")</f>
        <v/>
      </c>
      <c r="Y292" s="4"/>
      <c r="Z292" s="6"/>
      <c r="AA292" s="6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 t="str">
        <f>IFERROR(__xludf.DUMMYFUNCTION("""COMPUTED_VALUE"""),"")</f>
        <v/>
      </c>
      <c r="Y293" s="7"/>
      <c r="Z293" s="9"/>
      <c r="AA293" s="9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 t="str">
        <f>IFERROR(__xludf.DUMMYFUNCTION("""COMPUTED_VALUE"""),"")</f>
        <v/>
      </c>
      <c r="Y294" s="4"/>
      <c r="Z294" s="6"/>
      <c r="AA294" s="6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 t="str">
        <f>IFERROR(__xludf.DUMMYFUNCTION("""COMPUTED_VALUE"""),"")</f>
        <v/>
      </c>
      <c r="Y295" s="7"/>
      <c r="Z295" s="9"/>
      <c r="AA295" s="9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 t="str">
        <f>IFERROR(__xludf.DUMMYFUNCTION("""COMPUTED_VALUE"""),"")</f>
        <v/>
      </c>
      <c r="Y296" s="4"/>
      <c r="Z296" s="6"/>
      <c r="AA296" s="6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 t="str">
        <f>IFERROR(__xludf.DUMMYFUNCTION("""COMPUTED_VALUE"""),"")</f>
        <v/>
      </c>
      <c r="Y297" s="7"/>
      <c r="Z297" s="9"/>
      <c r="AA297" s="9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 t="str">
        <f>IFERROR(__xludf.DUMMYFUNCTION("""COMPUTED_VALUE"""),"")</f>
        <v/>
      </c>
      <c r="Y298" s="4"/>
      <c r="Z298" s="6"/>
      <c r="AA298" s="6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 t="str">
        <f>IFERROR(__xludf.DUMMYFUNCTION("""COMPUTED_VALUE"""),"")</f>
        <v/>
      </c>
      <c r="Y299" s="7"/>
      <c r="Z299" s="9"/>
      <c r="AA299" s="9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 t="str">
        <f>IFERROR(__xludf.DUMMYFUNCTION("""COMPUTED_VALUE"""),"")</f>
        <v/>
      </c>
      <c r="Y300" s="4"/>
      <c r="Z300" s="6"/>
      <c r="AA300" s="6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 t="str">
        <f>IFERROR(__xludf.DUMMYFUNCTION("""COMPUTED_VALUE"""),"")</f>
        <v/>
      </c>
      <c r="Y301" s="7"/>
      <c r="Z301" s="9"/>
      <c r="AA301" s="9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 t="str">
        <f>IFERROR(__xludf.DUMMYFUNCTION("""COMPUTED_VALUE"""),"")</f>
        <v/>
      </c>
      <c r="Y302" s="4"/>
      <c r="Z302" s="6"/>
      <c r="AA302" s="6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 t="str">
        <f>IFERROR(__xludf.DUMMYFUNCTION("""COMPUTED_VALUE"""),"")</f>
        <v/>
      </c>
      <c r="Y303" s="7"/>
      <c r="Z303" s="9"/>
      <c r="AA303" s="9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 t="str">
        <f>IFERROR(__xludf.DUMMYFUNCTION("""COMPUTED_VALUE"""),"")</f>
        <v/>
      </c>
      <c r="Y304" s="4"/>
      <c r="Z304" s="6"/>
      <c r="AA304" s="6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 t="str">
        <f>IFERROR(__xludf.DUMMYFUNCTION("""COMPUTED_VALUE"""),"")</f>
        <v/>
      </c>
      <c r="Y305" s="7"/>
      <c r="Z305" s="9"/>
      <c r="AA305" s="9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 t="str">
        <f>IFERROR(__xludf.DUMMYFUNCTION("""COMPUTED_VALUE"""),"")</f>
        <v/>
      </c>
      <c r="Y306" s="4"/>
      <c r="Z306" s="6"/>
      <c r="AA306" s="6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 t="str">
        <f>IFERROR(__xludf.DUMMYFUNCTION("""COMPUTED_VALUE"""),"")</f>
        <v/>
      </c>
      <c r="Y307" s="7"/>
      <c r="Z307" s="9"/>
      <c r="AA307" s="9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 t="str">
        <f>IFERROR(__xludf.DUMMYFUNCTION("""COMPUTED_VALUE"""),"")</f>
        <v/>
      </c>
      <c r="Y308" s="4"/>
      <c r="Z308" s="6"/>
      <c r="AA308" s="6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 t="str">
        <f>IFERROR(__xludf.DUMMYFUNCTION("""COMPUTED_VALUE"""),"")</f>
        <v/>
      </c>
      <c r="Y309" s="7"/>
      <c r="Z309" s="9"/>
      <c r="AA309" s="9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 t="str">
        <f>IFERROR(__xludf.DUMMYFUNCTION("""COMPUTED_VALUE"""),"")</f>
        <v/>
      </c>
      <c r="Y310" s="4"/>
      <c r="Z310" s="6"/>
      <c r="AA310" s="6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 t="str">
        <f>IFERROR(__xludf.DUMMYFUNCTION("""COMPUTED_VALUE"""),"")</f>
        <v/>
      </c>
      <c r="Y311" s="7"/>
      <c r="Z311" s="9"/>
      <c r="AA311" s="9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 t="str">
        <f>IFERROR(__xludf.DUMMYFUNCTION("""COMPUTED_VALUE"""),"")</f>
        <v/>
      </c>
      <c r="Y312" s="4"/>
      <c r="Z312" s="6"/>
      <c r="AA312" s="6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 t="str">
        <f>IFERROR(__xludf.DUMMYFUNCTION("""COMPUTED_VALUE"""),"")</f>
        <v/>
      </c>
      <c r="Y313" s="7"/>
      <c r="Z313" s="9"/>
      <c r="AA313" s="9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 t="str">
        <f>IFERROR(__xludf.DUMMYFUNCTION("""COMPUTED_VALUE"""),"")</f>
        <v/>
      </c>
      <c r="Y314" s="4"/>
      <c r="Z314" s="6"/>
      <c r="AA314" s="6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 t="str">
        <f>IFERROR(__xludf.DUMMYFUNCTION("""COMPUTED_VALUE"""),"")</f>
        <v/>
      </c>
      <c r="Y315" s="7"/>
      <c r="Z315" s="9"/>
      <c r="AA315" s="9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 t="str">
        <f>IFERROR(__xludf.DUMMYFUNCTION("""COMPUTED_VALUE"""),"")</f>
        <v/>
      </c>
      <c r="Y316" s="4"/>
      <c r="Z316" s="6"/>
      <c r="AA316" s="6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 t="str">
        <f>IFERROR(__xludf.DUMMYFUNCTION("""COMPUTED_VALUE"""),"")</f>
        <v/>
      </c>
      <c r="Y317" s="7"/>
      <c r="Z317" s="9"/>
      <c r="AA317" s="9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 t="str">
        <f>IFERROR(__xludf.DUMMYFUNCTION("""COMPUTED_VALUE"""),"")</f>
        <v/>
      </c>
      <c r="Y318" s="4"/>
      <c r="Z318" s="6"/>
      <c r="AA318" s="6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 t="str">
        <f>IFERROR(__xludf.DUMMYFUNCTION("""COMPUTED_VALUE"""),"")</f>
        <v/>
      </c>
      <c r="Y319" s="7"/>
      <c r="Z319" s="9"/>
      <c r="AA319" s="9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 t="str">
        <f>IFERROR(__xludf.DUMMYFUNCTION("""COMPUTED_VALUE"""),"")</f>
        <v/>
      </c>
      <c r="Y320" s="4"/>
      <c r="Z320" s="6"/>
      <c r="AA320" s="6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 t="str">
        <f>IFERROR(__xludf.DUMMYFUNCTION("""COMPUTED_VALUE"""),"")</f>
        <v/>
      </c>
      <c r="Y321" s="7"/>
      <c r="Z321" s="9"/>
      <c r="AA321" s="9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 t="str">
        <f>IFERROR(__xludf.DUMMYFUNCTION("""COMPUTED_VALUE"""),"")</f>
        <v/>
      </c>
      <c r="Y322" s="4"/>
      <c r="Z322" s="6"/>
      <c r="AA322" s="6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 t="str">
        <f>IFERROR(__xludf.DUMMYFUNCTION("""COMPUTED_VALUE"""),"")</f>
        <v/>
      </c>
      <c r="Y323" s="7"/>
      <c r="Z323" s="9"/>
      <c r="AA323" s="9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 t="str">
        <f>IFERROR(__xludf.DUMMYFUNCTION("""COMPUTED_VALUE"""),"")</f>
        <v/>
      </c>
      <c r="Y324" s="4"/>
      <c r="Z324" s="6"/>
      <c r="AA324" s="6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 t="str">
        <f>IFERROR(__xludf.DUMMYFUNCTION("""COMPUTED_VALUE"""),"")</f>
        <v/>
      </c>
      <c r="Y325" s="7"/>
      <c r="Z325" s="9"/>
      <c r="AA325" s="9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 t="str">
        <f>IFERROR(__xludf.DUMMYFUNCTION("""COMPUTED_VALUE"""),"")</f>
        <v/>
      </c>
      <c r="Y326" s="4"/>
      <c r="Z326" s="6"/>
      <c r="AA326" s="6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 t="str">
        <f>IFERROR(__xludf.DUMMYFUNCTION("""COMPUTED_VALUE"""),"")</f>
        <v/>
      </c>
      <c r="Y327" s="7"/>
      <c r="Z327" s="9"/>
      <c r="AA327" s="9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 t="str">
        <f>IFERROR(__xludf.DUMMYFUNCTION("""COMPUTED_VALUE"""),"")</f>
        <v/>
      </c>
      <c r="Y328" s="4"/>
      <c r="Z328" s="6"/>
      <c r="AA328" s="6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 t="str">
        <f>IFERROR(__xludf.DUMMYFUNCTION("""COMPUTED_VALUE"""),"")</f>
        <v/>
      </c>
      <c r="Y329" s="7"/>
      <c r="Z329" s="9"/>
      <c r="AA329" s="9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 t="str">
        <f>IFERROR(__xludf.DUMMYFUNCTION("""COMPUTED_VALUE"""),"")</f>
        <v/>
      </c>
      <c r="Y330" s="4"/>
      <c r="Z330" s="6"/>
      <c r="AA330" s="6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 t="str">
        <f>IFERROR(__xludf.DUMMYFUNCTION("""COMPUTED_VALUE"""),"")</f>
        <v/>
      </c>
      <c r="Y331" s="7"/>
      <c r="Z331" s="9"/>
      <c r="AA331" s="9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 t="str">
        <f>IFERROR(__xludf.DUMMYFUNCTION("""COMPUTED_VALUE"""),"")</f>
        <v/>
      </c>
      <c r="Y332" s="4"/>
      <c r="Z332" s="6"/>
      <c r="AA332" s="6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 t="str">
        <f>IFERROR(__xludf.DUMMYFUNCTION("""COMPUTED_VALUE"""),"")</f>
        <v/>
      </c>
      <c r="Y333" s="7"/>
      <c r="Z333" s="9"/>
      <c r="AA333" s="9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 t="str">
        <f>IFERROR(__xludf.DUMMYFUNCTION("""COMPUTED_VALUE"""),"")</f>
        <v/>
      </c>
      <c r="Y334" s="4"/>
      <c r="Z334" s="6"/>
      <c r="AA334" s="6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 t="str">
        <f>IFERROR(__xludf.DUMMYFUNCTION("""COMPUTED_VALUE"""),"")</f>
        <v/>
      </c>
      <c r="Y335" s="7"/>
      <c r="Z335" s="9"/>
      <c r="AA335" s="9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 t="str">
        <f>IFERROR(__xludf.DUMMYFUNCTION("""COMPUTED_VALUE"""),"")</f>
        <v/>
      </c>
      <c r="Y336" s="4"/>
      <c r="Z336" s="6"/>
      <c r="AA336" s="6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 t="str">
        <f>IFERROR(__xludf.DUMMYFUNCTION("""COMPUTED_VALUE"""),"")</f>
        <v/>
      </c>
      <c r="Y337" s="7"/>
      <c r="Z337" s="9"/>
      <c r="AA337" s="9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 t="str">
        <f>IFERROR(__xludf.DUMMYFUNCTION("""COMPUTED_VALUE"""),"")</f>
        <v/>
      </c>
      <c r="Y338" s="4"/>
      <c r="Z338" s="6"/>
      <c r="AA338" s="6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 t="str">
        <f>IFERROR(__xludf.DUMMYFUNCTION("""COMPUTED_VALUE"""),"")</f>
        <v/>
      </c>
      <c r="Y339" s="7"/>
      <c r="Z339" s="9"/>
      <c r="AA339" s="9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 t="str">
        <f>IFERROR(__xludf.DUMMYFUNCTION("""COMPUTED_VALUE"""),"")</f>
        <v/>
      </c>
      <c r="Y340" s="4"/>
      <c r="Z340" s="6"/>
      <c r="AA340" s="6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 t="str">
        <f>IFERROR(__xludf.DUMMYFUNCTION("""COMPUTED_VALUE"""),"")</f>
        <v/>
      </c>
      <c r="Y341" s="7"/>
      <c r="Z341" s="9"/>
      <c r="AA341" s="9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 t="str">
        <f>IFERROR(__xludf.DUMMYFUNCTION("""COMPUTED_VALUE"""),"")</f>
        <v/>
      </c>
      <c r="Y342" s="4"/>
      <c r="Z342" s="6"/>
      <c r="AA342" s="6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 t="str">
        <f>IFERROR(__xludf.DUMMYFUNCTION("""COMPUTED_VALUE"""),"")</f>
        <v/>
      </c>
      <c r="Y343" s="7"/>
      <c r="Z343" s="9"/>
      <c r="AA343" s="9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 t="str">
        <f>IFERROR(__xludf.DUMMYFUNCTION("""COMPUTED_VALUE"""),"")</f>
        <v/>
      </c>
      <c r="Y344" s="4"/>
      <c r="Z344" s="6"/>
      <c r="AA344" s="6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 t="str">
        <f>IFERROR(__xludf.DUMMYFUNCTION("""COMPUTED_VALUE"""),"")</f>
        <v/>
      </c>
      <c r="Y345" s="7"/>
      <c r="Z345" s="9"/>
      <c r="AA345" s="9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 t="str">
        <f>IFERROR(__xludf.DUMMYFUNCTION("""COMPUTED_VALUE"""),"")</f>
        <v/>
      </c>
      <c r="Y346" s="4"/>
      <c r="Z346" s="6"/>
      <c r="AA346" s="6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 t="str">
        <f>IFERROR(__xludf.DUMMYFUNCTION("""COMPUTED_VALUE"""),"")</f>
        <v/>
      </c>
      <c r="Y347" s="7"/>
      <c r="Z347" s="9"/>
      <c r="AA347" s="9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 t="str">
        <f>IFERROR(__xludf.DUMMYFUNCTION("""COMPUTED_VALUE"""),"")</f>
        <v/>
      </c>
      <c r="Y348" s="4"/>
      <c r="Z348" s="6"/>
      <c r="AA348" s="6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 t="str">
        <f>IFERROR(__xludf.DUMMYFUNCTION("""COMPUTED_VALUE"""),"")</f>
        <v/>
      </c>
      <c r="Y349" s="7"/>
      <c r="Z349" s="9"/>
      <c r="AA349" s="9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 t="str">
        <f>IFERROR(__xludf.DUMMYFUNCTION("""COMPUTED_VALUE"""),"")</f>
        <v/>
      </c>
      <c r="Y350" s="4"/>
      <c r="Z350" s="6"/>
      <c r="AA350" s="6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 t="str">
        <f>IFERROR(__xludf.DUMMYFUNCTION("""COMPUTED_VALUE"""),"")</f>
        <v/>
      </c>
      <c r="Y351" s="7"/>
      <c r="Z351" s="9"/>
      <c r="AA351" s="9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 t="str">
        <f>IFERROR(__xludf.DUMMYFUNCTION("""COMPUTED_VALUE"""),"")</f>
        <v/>
      </c>
      <c r="Y352" s="4"/>
      <c r="Z352" s="6"/>
      <c r="AA352" s="6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 t="str">
        <f>IFERROR(__xludf.DUMMYFUNCTION("""COMPUTED_VALUE"""),"")</f>
        <v/>
      </c>
      <c r="Y353" s="7"/>
      <c r="Z353" s="9"/>
      <c r="AA353" s="9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 t="str">
        <f>IFERROR(__xludf.DUMMYFUNCTION("""COMPUTED_VALUE"""),"")</f>
        <v/>
      </c>
      <c r="Y354" s="4"/>
      <c r="Z354" s="6"/>
      <c r="AA354" s="6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 t="str">
        <f>IFERROR(__xludf.DUMMYFUNCTION("""COMPUTED_VALUE"""),"")</f>
        <v/>
      </c>
      <c r="Y355" s="7"/>
      <c r="Z355" s="9"/>
      <c r="AA355" s="9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 t="str">
        <f>IFERROR(__xludf.DUMMYFUNCTION("""COMPUTED_VALUE"""),"")</f>
        <v/>
      </c>
      <c r="Y356" s="4"/>
      <c r="Z356" s="6"/>
      <c r="AA356" s="6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 t="str">
        <f>IFERROR(__xludf.DUMMYFUNCTION("""COMPUTED_VALUE"""),"")</f>
        <v/>
      </c>
      <c r="Y357" s="7"/>
      <c r="Z357" s="9"/>
      <c r="AA357" s="9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 t="str">
        <f>IFERROR(__xludf.DUMMYFUNCTION("""COMPUTED_VALUE"""),"")</f>
        <v/>
      </c>
      <c r="Y358" s="4"/>
      <c r="Z358" s="6"/>
      <c r="AA358" s="6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 t="str">
        <f>IFERROR(__xludf.DUMMYFUNCTION("""COMPUTED_VALUE"""),"")</f>
        <v/>
      </c>
      <c r="Y359" s="7"/>
      <c r="Z359" s="9"/>
      <c r="AA359" s="9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 t="str">
        <f>IFERROR(__xludf.DUMMYFUNCTION("""COMPUTED_VALUE"""),"")</f>
        <v/>
      </c>
      <c r="Y360" s="4"/>
      <c r="Z360" s="6"/>
      <c r="AA360" s="6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 t="str">
        <f>IFERROR(__xludf.DUMMYFUNCTION("""COMPUTED_VALUE"""),"")</f>
        <v/>
      </c>
      <c r="Y361" s="7"/>
      <c r="Z361" s="9"/>
      <c r="AA361" s="9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 t="str">
        <f>IFERROR(__xludf.DUMMYFUNCTION("""COMPUTED_VALUE"""),"")</f>
        <v/>
      </c>
      <c r="Y362" s="4"/>
      <c r="Z362" s="6"/>
      <c r="AA362" s="6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 t="str">
        <f>IFERROR(__xludf.DUMMYFUNCTION("""COMPUTED_VALUE"""),"")</f>
        <v/>
      </c>
      <c r="Y363" s="7"/>
      <c r="Z363" s="9"/>
      <c r="AA363" s="9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 t="str">
        <f>IFERROR(__xludf.DUMMYFUNCTION("""COMPUTED_VALUE"""),"")</f>
        <v/>
      </c>
      <c r="Y364" s="4"/>
      <c r="Z364" s="6"/>
      <c r="AA364" s="6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 t="str">
        <f>IFERROR(__xludf.DUMMYFUNCTION("""COMPUTED_VALUE"""),"")</f>
        <v/>
      </c>
      <c r="Y365" s="7"/>
      <c r="Z365" s="9"/>
      <c r="AA365" s="9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 t="str">
        <f>IFERROR(__xludf.DUMMYFUNCTION("""COMPUTED_VALUE"""),"")</f>
        <v/>
      </c>
      <c r="Y366" s="4"/>
      <c r="Z366" s="6"/>
      <c r="AA366" s="6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 t="str">
        <f>IFERROR(__xludf.DUMMYFUNCTION("""COMPUTED_VALUE"""),"")</f>
        <v/>
      </c>
      <c r="Y367" s="7"/>
      <c r="Z367" s="9"/>
      <c r="AA367" s="9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 t="str">
        <f>IFERROR(__xludf.DUMMYFUNCTION("""COMPUTED_VALUE"""),"")</f>
        <v/>
      </c>
      <c r="Y368" s="4"/>
      <c r="Z368" s="6"/>
      <c r="AA368" s="6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 t="str">
        <f>IFERROR(__xludf.DUMMYFUNCTION("""COMPUTED_VALUE"""),"")</f>
        <v/>
      </c>
      <c r="Y369" s="7"/>
      <c r="Z369" s="9"/>
      <c r="AA369" s="9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 t="str">
        <f>IFERROR(__xludf.DUMMYFUNCTION("""COMPUTED_VALUE"""),"")</f>
        <v/>
      </c>
      <c r="Y370" s="4"/>
      <c r="Z370" s="6"/>
      <c r="AA370" s="6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 t="str">
        <f>IFERROR(__xludf.DUMMYFUNCTION("""COMPUTED_VALUE"""),"")</f>
        <v/>
      </c>
      <c r="Y371" s="7"/>
      <c r="Z371" s="9"/>
      <c r="AA371" s="9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 t="str">
        <f>IFERROR(__xludf.DUMMYFUNCTION("""COMPUTED_VALUE"""),"")</f>
        <v/>
      </c>
      <c r="Y372" s="4"/>
      <c r="Z372" s="6"/>
      <c r="AA372" s="6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 t="str">
        <f>IFERROR(__xludf.DUMMYFUNCTION("""COMPUTED_VALUE"""),"")</f>
        <v/>
      </c>
      <c r="Y373" s="7"/>
      <c r="Z373" s="9"/>
      <c r="AA373" s="9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 t="str">
        <f>IFERROR(__xludf.DUMMYFUNCTION("""COMPUTED_VALUE"""),"")</f>
        <v/>
      </c>
      <c r="Y374" s="4"/>
      <c r="Z374" s="6"/>
      <c r="AA374" s="6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 t="str">
        <f>IFERROR(__xludf.DUMMYFUNCTION("""COMPUTED_VALUE"""),"")</f>
        <v/>
      </c>
      <c r="Y375" s="7"/>
      <c r="Z375" s="9"/>
      <c r="AA375" s="9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 t="str">
        <f>IFERROR(__xludf.DUMMYFUNCTION("""COMPUTED_VALUE"""),"")</f>
        <v/>
      </c>
      <c r="Y376" s="4"/>
      <c r="Z376" s="6"/>
      <c r="AA376" s="6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 t="str">
        <f>IFERROR(__xludf.DUMMYFUNCTION("""COMPUTED_VALUE"""),"")</f>
        <v/>
      </c>
      <c r="Y377" s="7"/>
      <c r="Z377" s="9"/>
      <c r="AA377" s="9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 t="str">
        <f>IFERROR(__xludf.DUMMYFUNCTION("""COMPUTED_VALUE"""),"")</f>
        <v/>
      </c>
      <c r="Y378" s="4"/>
      <c r="Z378" s="6"/>
      <c r="AA378" s="6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 t="str">
        <f>IFERROR(__xludf.DUMMYFUNCTION("""COMPUTED_VALUE"""),"")</f>
        <v/>
      </c>
      <c r="Y379" s="7"/>
      <c r="Z379" s="9"/>
      <c r="AA379" s="9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 t="str">
        <f>IFERROR(__xludf.DUMMYFUNCTION("""COMPUTED_VALUE"""),"")</f>
        <v/>
      </c>
      <c r="Y380" s="4"/>
      <c r="Z380" s="6"/>
      <c r="AA380" s="6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 t="str">
        <f>IFERROR(__xludf.DUMMYFUNCTION("""COMPUTED_VALUE"""),"")</f>
        <v/>
      </c>
      <c r="Y381" s="7"/>
      <c r="Z381" s="9"/>
      <c r="AA381" s="9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 t="str">
        <f>IFERROR(__xludf.DUMMYFUNCTION("""COMPUTED_VALUE"""),"")</f>
        <v/>
      </c>
      <c r="Y382" s="4"/>
      <c r="Z382" s="6"/>
      <c r="AA382" s="6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 t="str">
        <f>IFERROR(__xludf.DUMMYFUNCTION("""COMPUTED_VALUE"""),"")</f>
        <v/>
      </c>
      <c r="Y383" s="7"/>
      <c r="Z383" s="9"/>
      <c r="AA383" s="9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 t="str">
        <f>IFERROR(__xludf.DUMMYFUNCTION("""COMPUTED_VALUE"""),"")</f>
        <v/>
      </c>
      <c r="Y384" s="4"/>
      <c r="Z384" s="6"/>
      <c r="AA384" s="6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 t="str">
        <f>IFERROR(__xludf.DUMMYFUNCTION("""COMPUTED_VALUE"""),"")</f>
        <v/>
      </c>
      <c r="Y385" s="7"/>
      <c r="Z385" s="9"/>
      <c r="AA385" s="9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 t="str">
        <f>IFERROR(__xludf.DUMMYFUNCTION("""COMPUTED_VALUE"""),"")</f>
        <v/>
      </c>
      <c r="Y386" s="4"/>
      <c r="Z386" s="6"/>
      <c r="AA386" s="6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 t="str">
        <f>IFERROR(__xludf.DUMMYFUNCTION("""COMPUTED_VALUE"""),"")</f>
        <v/>
      </c>
      <c r="Y387" s="7"/>
      <c r="Z387" s="9"/>
      <c r="AA387" s="9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 t="str">
        <f>IFERROR(__xludf.DUMMYFUNCTION("""COMPUTED_VALUE"""),"")</f>
        <v/>
      </c>
      <c r="Y388" s="4"/>
      <c r="Z388" s="6"/>
      <c r="AA388" s="6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 t="str">
        <f>IFERROR(__xludf.DUMMYFUNCTION("""COMPUTED_VALUE"""),"")</f>
        <v/>
      </c>
      <c r="Y389" s="7"/>
      <c r="Z389" s="9"/>
      <c r="AA389" s="9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 t="str">
        <f>IFERROR(__xludf.DUMMYFUNCTION("""COMPUTED_VALUE"""),"")</f>
        <v/>
      </c>
      <c r="Y390" s="4"/>
      <c r="Z390" s="6"/>
      <c r="AA390" s="6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 t="str">
        <f>IFERROR(__xludf.DUMMYFUNCTION("""COMPUTED_VALUE"""),"")</f>
        <v/>
      </c>
      <c r="Y391" s="7"/>
      <c r="Z391" s="9"/>
      <c r="AA391" s="9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 t="str">
        <f>IFERROR(__xludf.DUMMYFUNCTION("""COMPUTED_VALUE"""),"")</f>
        <v/>
      </c>
      <c r="Y392" s="4"/>
      <c r="Z392" s="6"/>
      <c r="AA392" s="6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 t="str">
        <f>IFERROR(__xludf.DUMMYFUNCTION("""COMPUTED_VALUE"""),"")</f>
        <v/>
      </c>
      <c r="Y393" s="7"/>
      <c r="Z393" s="9"/>
      <c r="AA393" s="9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 t="str">
        <f>IFERROR(__xludf.DUMMYFUNCTION("""COMPUTED_VALUE"""),"")</f>
        <v/>
      </c>
      <c r="Y394" s="4"/>
      <c r="Z394" s="6"/>
      <c r="AA394" s="6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 t="str">
        <f>IFERROR(__xludf.DUMMYFUNCTION("""COMPUTED_VALUE"""),"")</f>
        <v/>
      </c>
      <c r="Y395" s="7"/>
      <c r="Z395" s="9"/>
      <c r="AA395" s="9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 t="str">
        <f>IFERROR(__xludf.DUMMYFUNCTION("""COMPUTED_VALUE"""),"")</f>
        <v/>
      </c>
      <c r="Y396" s="4"/>
      <c r="Z396" s="6"/>
      <c r="AA396" s="6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 t="str">
        <f>IFERROR(__xludf.DUMMYFUNCTION("""COMPUTED_VALUE"""),"")</f>
        <v/>
      </c>
      <c r="Y397" s="7"/>
      <c r="Z397" s="9"/>
      <c r="AA397" s="9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 t="str">
        <f>IFERROR(__xludf.DUMMYFUNCTION("""COMPUTED_VALUE"""),"")</f>
        <v/>
      </c>
      <c r="Y398" s="4"/>
      <c r="Z398" s="6"/>
      <c r="AA398" s="6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 t="str">
        <f>IFERROR(__xludf.DUMMYFUNCTION("""COMPUTED_VALUE"""),"")</f>
        <v/>
      </c>
      <c r="Y399" s="7"/>
      <c r="Z399" s="9"/>
      <c r="AA399" s="9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 t="str">
        <f>IFERROR(__xludf.DUMMYFUNCTION("""COMPUTED_VALUE"""),"")</f>
        <v/>
      </c>
      <c r="Y400" s="4"/>
      <c r="Z400" s="6"/>
      <c r="AA400" s="6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 t="str">
        <f>IFERROR(__xludf.DUMMYFUNCTION("""COMPUTED_VALUE"""),"")</f>
        <v/>
      </c>
      <c r="Y401" s="7"/>
      <c r="Z401" s="9"/>
      <c r="AA401" s="9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 t="str">
        <f>IFERROR(__xludf.DUMMYFUNCTION("""COMPUTED_VALUE"""),"")</f>
        <v/>
      </c>
      <c r="Y402" s="4"/>
      <c r="Z402" s="6"/>
      <c r="AA402" s="6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 t="str">
        <f>IFERROR(__xludf.DUMMYFUNCTION("""COMPUTED_VALUE"""),"")</f>
        <v/>
      </c>
      <c r="Y403" s="7"/>
      <c r="Z403" s="9"/>
      <c r="AA403" s="9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 t="str">
        <f>IFERROR(__xludf.DUMMYFUNCTION("""COMPUTED_VALUE"""),"")</f>
        <v/>
      </c>
      <c r="Y404" s="4"/>
      <c r="Z404" s="6"/>
      <c r="AA404" s="6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 t="str">
        <f>IFERROR(__xludf.DUMMYFUNCTION("""COMPUTED_VALUE"""),"")</f>
        <v/>
      </c>
      <c r="Y405" s="7"/>
      <c r="Z405" s="9"/>
      <c r="AA405" s="9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 t="str">
        <f>IFERROR(__xludf.DUMMYFUNCTION("""COMPUTED_VALUE"""),"")</f>
        <v/>
      </c>
      <c r="Y406" s="4"/>
      <c r="Z406" s="6"/>
      <c r="AA406" s="6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 t="str">
        <f>IFERROR(__xludf.DUMMYFUNCTION("""COMPUTED_VALUE"""),"")</f>
        <v/>
      </c>
      <c r="Y407" s="7"/>
      <c r="Z407" s="9"/>
      <c r="AA407" s="9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 t="str">
        <f>IFERROR(__xludf.DUMMYFUNCTION("""COMPUTED_VALUE"""),"")</f>
        <v/>
      </c>
      <c r="Y408" s="4"/>
      <c r="Z408" s="6"/>
      <c r="AA408" s="6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 t="str">
        <f>IFERROR(__xludf.DUMMYFUNCTION("""COMPUTED_VALUE"""),"")</f>
        <v/>
      </c>
      <c r="Y409" s="7"/>
      <c r="Z409" s="9"/>
      <c r="AA409" s="9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 t="str">
        <f>IFERROR(__xludf.DUMMYFUNCTION("""COMPUTED_VALUE"""),"")</f>
        <v/>
      </c>
      <c r="Y410" s="4"/>
      <c r="Z410" s="6"/>
      <c r="AA410" s="6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 t="str">
        <f>IFERROR(__xludf.DUMMYFUNCTION("""COMPUTED_VALUE"""),"")</f>
        <v/>
      </c>
      <c r="Y411" s="7"/>
      <c r="Z411" s="9"/>
      <c r="AA411" s="9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 t="str">
        <f>IFERROR(__xludf.DUMMYFUNCTION("""COMPUTED_VALUE"""),"")</f>
        <v/>
      </c>
      <c r="Y412" s="4"/>
      <c r="Z412" s="6"/>
      <c r="AA412" s="6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 t="str">
        <f>IFERROR(__xludf.DUMMYFUNCTION("""COMPUTED_VALUE"""),"")</f>
        <v/>
      </c>
      <c r="Y413" s="7"/>
      <c r="Z413" s="9"/>
      <c r="AA413" s="9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 t="str">
        <f>IFERROR(__xludf.DUMMYFUNCTION("""COMPUTED_VALUE"""),"")</f>
        <v/>
      </c>
      <c r="Y414" s="4"/>
      <c r="Z414" s="6"/>
      <c r="AA414" s="6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 t="str">
        <f>IFERROR(__xludf.DUMMYFUNCTION("""COMPUTED_VALUE"""),"")</f>
        <v/>
      </c>
      <c r="Y415" s="7"/>
      <c r="Z415" s="9"/>
      <c r="AA415" s="9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 t="str">
        <f>IFERROR(__xludf.DUMMYFUNCTION("""COMPUTED_VALUE"""),"")</f>
        <v/>
      </c>
      <c r="Y416" s="4"/>
      <c r="Z416" s="6"/>
      <c r="AA416" s="6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 t="str">
        <f>IFERROR(__xludf.DUMMYFUNCTION("""COMPUTED_VALUE"""),"")</f>
        <v/>
      </c>
      <c r="Y417" s="7"/>
      <c r="Z417" s="9"/>
      <c r="AA417" s="9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 t="str">
        <f>IFERROR(__xludf.DUMMYFUNCTION("""COMPUTED_VALUE"""),"")</f>
        <v/>
      </c>
      <c r="Y418" s="4"/>
      <c r="Z418" s="6"/>
      <c r="AA418" s="6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 t="str">
        <f>IFERROR(__xludf.DUMMYFUNCTION("""COMPUTED_VALUE"""),"")</f>
        <v/>
      </c>
      <c r="Y419" s="7"/>
      <c r="Z419" s="9"/>
      <c r="AA419" s="9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 t="str">
        <f>IFERROR(__xludf.DUMMYFUNCTION("""COMPUTED_VALUE"""),"")</f>
        <v/>
      </c>
      <c r="Y420" s="4"/>
      <c r="Z420" s="6"/>
      <c r="AA420" s="6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 t="str">
        <f>IFERROR(__xludf.DUMMYFUNCTION("""COMPUTED_VALUE"""),"")</f>
        <v/>
      </c>
      <c r="Y421" s="7"/>
      <c r="Z421" s="9"/>
      <c r="AA421" s="9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 t="str">
        <f>IFERROR(__xludf.DUMMYFUNCTION("""COMPUTED_VALUE"""),"")</f>
        <v/>
      </c>
      <c r="Y422" s="4"/>
      <c r="Z422" s="6"/>
      <c r="AA422" s="6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 t="str">
        <f>IFERROR(__xludf.DUMMYFUNCTION("""COMPUTED_VALUE"""),"")</f>
        <v/>
      </c>
      <c r="Y423" s="7"/>
      <c r="Z423" s="9"/>
      <c r="AA423" s="9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 t="str">
        <f>IFERROR(__xludf.DUMMYFUNCTION("""COMPUTED_VALUE"""),"")</f>
        <v/>
      </c>
      <c r="Y424" s="4"/>
      <c r="Z424" s="6"/>
      <c r="AA424" s="6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 t="str">
        <f>IFERROR(__xludf.DUMMYFUNCTION("""COMPUTED_VALUE"""),"")</f>
        <v/>
      </c>
      <c r="Y425" s="7"/>
      <c r="Z425" s="9"/>
      <c r="AA425" s="9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 t="str">
        <f>IFERROR(__xludf.DUMMYFUNCTION("""COMPUTED_VALUE"""),"")</f>
        <v/>
      </c>
      <c r="Y426" s="4"/>
      <c r="Z426" s="6"/>
      <c r="AA426" s="6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 t="str">
        <f>IFERROR(__xludf.DUMMYFUNCTION("""COMPUTED_VALUE"""),"")</f>
        <v/>
      </c>
      <c r="Y427" s="7"/>
      <c r="Z427" s="9"/>
      <c r="AA427" s="9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 t="str">
        <f>IFERROR(__xludf.DUMMYFUNCTION("""COMPUTED_VALUE"""),"")</f>
        <v/>
      </c>
      <c r="Y428" s="4"/>
      <c r="Z428" s="6"/>
      <c r="AA428" s="6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 t="str">
        <f>IFERROR(__xludf.DUMMYFUNCTION("""COMPUTED_VALUE"""),"")</f>
        <v/>
      </c>
      <c r="Y429" s="7"/>
      <c r="Z429" s="9"/>
      <c r="AA429" s="9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 t="str">
        <f>IFERROR(__xludf.DUMMYFUNCTION("""COMPUTED_VALUE"""),"")</f>
        <v/>
      </c>
      <c r="Y430" s="4"/>
      <c r="Z430" s="6"/>
      <c r="AA430" s="6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 t="str">
        <f>IFERROR(__xludf.DUMMYFUNCTION("""COMPUTED_VALUE"""),"")</f>
        <v/>
      </c>
      <c r="Y431" s="7"/>
      <c r="Z431" s="9"/>
      <c r="AA431" s="9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 t="str">
        <f>IFERROR(__xludf.DUMMYFUNCTION("""COMPUTED_VALUE"""),"")</f>
        <v/>
      </c>
      <c r="Y432" s="4"/>
      <c r="Z432" s="6"/>
      <c r="AA432" s="6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 t="str">
        <f>IFERROR(__xludf.DUMMYFUNCTION("""COMPUTED_VALUE"""),"")</f>
        <v/>
      </c>
      <c r="Y433" s="7"/>
      <c r="Z433" s="9"/>
      <c r="AA433" s="9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 t="str">
        <f>IFERROR(__xludf.DUMMYFUNCTION("""COMPUTED_VALUE"""),"")</f>
        <v/>
      </c>
      <c r="Y434" s="4"/>
      <c r="Z434" s="6"/>
      <c r="AA434" s="6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 t="str">
        <f>IFERROR(__xludf.DUMMYFUNCTION("""COMPUTED_VALUE"""),"")</f>
        <v/>
      </c>
      <c r="Y435" s="7"/>
      <c r="Z435" s="9"/>
      <c r="AA435" s="9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 t="str">
        <f>IFERROR(__xludf.DUMMYFUNCTION("""COMPUTED_VALUE"""),"")</f>
        <v/>
      </c>
      <c r="Y436" s="4"/>
      <c r="Z436" s="6"/>
      <c r="AA436" s="6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 t="str">
        <f>IFERROR(__xludf.DUMMYFUNCTION("""COMPUTED_VALUE"""),"")</f>
        <v/>
      </c>
      <c r="Y437" s="7"/>
      <c r="Z437" s="9"/>
      <c r="AA437" s="9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 t="str">
        <f>IFERROR(__xludf.DUMMYFUNCTION("""COMPUTED_VALUE"""),"")</f>
        <v/>
      </c>
      <c r="Y438" s="4"/>
      <c r="Z438" s="6"/>
      <c r="AA438" s="6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 t="str">
        <f>IFERROR(__xludf.DUMMYFUNCTION("""COMPUTED_VALUE"""),"")</f>
        <v/>
      </c>
      <c r="Y439" s="7"/>
      <c r="Z439" s="9"/>
      <c r="AA439" s="9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 t="str">
        <f>IFERROR(__xludf.DUMMYFUNCTION("""COMPUTED_VALUE"""),"")</f>
        <v/>
      </c>
      <c r="Y440" s="4"/>
      <c r="Z440" s="6"/>
      <c r="AA440" s="6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 t="str">
        <f>IFERROR(__xludf.DUMMYFUNCTION("""COMPUTED_VALUE"""),"")</f>
        <v/>
      </c>
      <c r="Y441" s="7"/>
      <c r="Z441" s="9"/>
      <c r="AA441" s="9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 t="str">
        <f>IFERROR(__xludf.DUMMYFUNCTION("""COMPUTED_VALUE"""),"")</f>
        <v/>
      </c>
      <c r="Y442" s="4"/>
      <c r="Z442" s="6"/>
      <c r="AA442" s="6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 t="str">
        <f>IFERROR(__xludf.DUMMYFUNCTION("""COMPUTED_VALUE"""),"")</f>
        <v/>
      </c>
      <c r="Y443" s="7"/>
      <c r="Z443" s="9"/>
      <c r="AA443" s="9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 t="str">
        <f>IFERROR(__xludf.DUMMYFUNCTION("""COMPUTED_VALUE"""),"")</f>
        <v/>
      </c>
      <c r="Y444" s="4"/>
      <c r="Z444" s="6"/>
      <c r="AA444" s="6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 t="str">
        <f>IFERROR(__xludf.DUMMYFUNCTION("""COMPUTED_VALUE"""),"")</f>
        <v/>
      </c>
      <c r="Y445" s="7"/>
      <c r="Z445" s="9"/>
      <c r="AA445" s="9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 t="str">
        <f>IFERROR(__xludf.DUMMYFUNCTION("""COMPUTED_VALUE"""),"")</f>
        <v/>
      </c>
      <c r="Y446" s="4"/>
      <c r="Z446" s="6"/>
      <c r="AA446" s="6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 t="str">
        <f>IFERROR(__xludf.DUMMYFUNCTION("""COMPUTED_VALUE"""),"")</f>
        <v/>
      </c>
      <c r="Y447" s="7"/>
      <c r="Z447" s="9"/>
      <c r="AA447" s="9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 t="str">
        <f>IFERROR(__xludf.DUMMYFUNCTION("""COMPUTED_VALUE"""),"")</f>
        <v/>
      </c>
      <c r="Y448" s="4"/>
      <c r="Z448" s="6"/>
      <c r="AA448" s="6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 t="str">
        <f>IFERROR(__xludf.DUMMYFUNCTION("""COMPUTED_VALUE"""),"")</f>
        <v/>
      </c>
      <c r="Y449" s="7"/>
      <c r="Z449" s="9"/>
      <c r="AA449" s="9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 t="str">
        <f>IFERROR(__xludf.DUMMYFUNCTION("""COMPUTED_VALUE"""),"")</f>
        <v/>
      </c>
      <c r="Y450" s="4"/>
      <c r="Z450" s="6"/>
      <c r="AA450" s="6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 t="str">
        <f>IFERROR(__xludf.DUMMYFUNCTION("""COMPUTED_VALUE"""),"")</f>
        <v/>
      </c>
      <c r="Y451" s="7"/>
      <c r="Z451" s="9"/>
      <c r="AA451" s="9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 t="str">
        <f>IFERROR(__xludf.DUMMYFUNCTION("""COMPUTED_VALUE"""),"")</f>
        <v/>
      </c>
      <c r="Y452" s="4"/>
      <c r="Z452" s="6"/>
      <c r="AA452" s="6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 t="str">
        <f>IFERROR(__xludf.DUMMYFUNCTION("""COMPUTED_VALUE"""),"")</f>
        <v/>
      </c>
      <c r="Y453" s="7"/>
      <c r="Z453" s="9"/>
      <c r="AA453" s="9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 t="str">
        <f>IFERROR(__xludf.DUMMYFUNCTION("""COMPUTED_VALUE"""),"")</f>
        <v/>
      </c>
      <c r="Y454" s="4"/>
      <c r="Z454" s="6"/>
      <c r="AA454" s="6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 t="str">
        <f>IFERROR(__xludf.DUMMYFUNCTION("""COMPUTED_VALUE"""),"")</f>
        <v/>
      </c>
      <c r="Y455" s="7"/>
      <c r="Z455" s="9"/>
      <c r="AA455" s="9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 t="str">
        <f>IFERROR(__xludf.DUMMYFUNCTION("""COMPUTED_VALUE"""),"")</f>
        <v/>
      </c>
      <c r="Y456" s="4"/>
      <c r="Z456" s="6"/>
      <c r="AA456" s="6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 t="str">
        <f>IFERROR(__xludf.DUMMYFUNCTION("""COMPUTED_VALUE"""),"")</f>
        <v/>
      </c>
      <c r="Y457" s="7"/>
      <c r="Z457" s="9"/>
      <c r="AA457" s="9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 t="str">
        <f>IFERROR(__xludf.DUMMYFUNCTION("""COMPUTED_VALUE"""),"")</f>
        <v/>
      </c>
      <c r="Y458" s="4"/>
      <c r="Z458" s="6"/>
      <c r="AA458" s="6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 t="str">
        <f>IFERROR(__xludf.DUMMYFUNCTION("""COMPUTED_VALUE"""),"")</f>
        <v/>
      </c>
      <c r="Y459" s="7"/>
      <c r="Z459" s="9"/>
      <c r="AA459" s="9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 t="str">
        <f>IFERROR(__xludf.DUMMYFUNCTION("""COMPUTED_VALUE"""),"")</f>
        <v/>
      </c>
      <c r="Y460" s="4"/>
      <c r="Z460" s="6"/>
      <c r="AA460" s="6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 t="str">
        <f>IFERROR(__xludf.DUMMYFUNCTION("""COMPUTED_VALUE"""),"")</f>
        <v/>
      </c>
      <c r="Y461" s="7"/>
      <c r="Z461" s="9"/>
      <c r="AA461" s="9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 t="str">
        <f>IFERROR(__xludf.DUMMYFUNCTION("""COMPUTED_VALUE"""),"")</f>
        <v/>
      </c>
      <c r="Y462" s="4"/>
      <c r="Z462" s="6"/>
      <c r="AA462" s="6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 t="str">
        <f>IFERROR(__xludf.DUMMYFUNCTION("""COMPUTED_VALUE"""),"")</f>
        <v/>
      </c>
      <c r="Y463" s="7"/>
      <c r="Z463" s="9"/>
      <c r="AA463" s="9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 t="str">
        <f>IFERROR(__xludf.DUMMYFUNCTION("""COMPUTED_VALUE"""),"")</f>
        <v/>
      </c>
      <c r="Y464" s="4"/>
      <c r="Z464" s="6"/>
      <c r="AA464" s="6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 t="str">
        <f>IFERROR(__xludf.DUMMYFUNCTION("""COMPUTED_VALUE"""),"")</f>
        <v/>
      </c>
      <c r="Y465" s="7"/>
      <c r="Z465" s="9"/>
      <c r="AA465" s="9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 t="str">
        <f>IFERROR(__xludf.DUMMYFUNCTION("""COMPUTED_VALUE"""),"")</f>
        <v/>
      </c>
      <c r="Y466" s="4"/>
      <c r="Z466" s="6"/>
      <c r="AA466" s="6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 t="str">
        <f>IFERROR(__xludf.DUMMYFUNCTION("""COMPUTED_VALUE"""),"")</f>
        <v/>
      </c>
      <c r="Y467" s="7"/>
      <c r="Z467" s="9"/>
      <c r="AA467" s="9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 t="str">
        <f>IFERROR(__xludf.DUMMYFUNCTION("""COMPUTED_VALUE"""),"")</f>
        <v/>
      </c>
      <c r="Y468" s="4"/>
      <c r="Z468" s="6"/>
      <c r="AA468" s="6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 t="str">
        <f>IFERROR(__xludf.DUMMYFUNCTION("""COMPUTED_VALUE"""),"")</f>
        <v/>
      </c>
      <c r="Y469" s="7"/>
      <c r="Z469" s="9"/>
      <c r="AA469" s="9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 t="str">
        <f>IFERROR(__xludf.DUMMYFUNCTION("""COMPUTED_VALUE"""),"")</f>
        <v/>
      </c>
      <c r="Y470" s="4"/>
      <c r="Z470" s="6"/>
      <c r="AA470" s="6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 t="str">
        <f>IFERROR(__xludf.DUMMYFUNCTION("""COMPUTED_VALUE"""),"")</f>
        <v/>
      </c>
      <c r="Y471" s="7"/>
      <c r="Z471" s="9"/>
      <c r="AA471" s="9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 t="str">
        <f>IFERROR(__xludf.DUMMYFUNCTION("""COMPUTED_VALUE"""),"")</f>
        <v/>
      </c>
      <c r="Y472" s="4"/>
      <c r="Z472" s="6"/>
      <c r="AA472" s="6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 t="str">
        <f>IFERROR(__xludf.DUMMYFUNCTION("""COMPUTED_VALUE"""),"")</f>
        <v/>
      </c>
      <c r="Y473" s="7"/>
      <c r="Z473" s="9"/>
      <c r="AA473" s="9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 t="str">
        <f>IFERROR(__xludf.DUMMYFUNCTION("""COMPUTED_VALUE"""),"")</f>
        <v/>
      </c>
      <c r="Y474" s="4"/>
      <c r="Z474" s="6"/>
      <c r="AA474" s="6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 t="str">
        <f>IFERROR(__xludf.DUMMYFUNCTION("""COMPUTED_VALUE"""),"")</f>
        <v/>
      </c>
      <c r="Y475" s="7"/>
      <c r="Z475" s="9"/>
      <c r="AA475" s="9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 t="str">
        <f>IFERROR(__xludf.DUMMYFUNCTION("""COMPUTED_VALUE"""),"")</f>
        <v/>
      </c>
      <c r="Y476" s="4"/>
      <c r="Z476" s="6"/>
      <c r="AA476" s="6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 t="str">
        <f>IFERROR(__xludf.DUMMYFUNCTION("""COMPUTED_VALUE"""),"")</f>
        <v/>
      </c>
      <c r="Y477" s="7"/>
      <c r="Z477" s="9"/>
      <c r="AA477" s="9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 t="str">
        <f>IFERROR(__xludf.DUMMYFUNCTION("""COMPUTED_VALUE"""),"")</f>
        <v/>
      </c>
      <c r="Y478" s="4"/>
      <c r="Z478" s="6"/>
      <c r="AA478" s="6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 t="str">
        <f>IFERROR(__xludf.DUMMYFUNCTION("""COMPUTED_VALUE"""),"")</f>
        <v/>
      </c>
      <c r="Y479" s="7"/>
      <c r="Z479" s="9"/>
      <c r="AA479" s="9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 t="str">
        <f>IFERROR(__xludf.DUMMYFUNCTION("""COMPUTED_VALUE"""),"")</f>
        <v/>
      </c>
      <c r="Y480" s="4"/>
      <c r="Z480" s="6"/>
      <c r="AA480" s="6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 t="str">
        <f>IFERROR(__xludf.DUMMYFUNCTION("""COMPUTED_VALUE"""),"")</f>
        <v/>
      </c>
      <c r="Y481" s="7"/>
      <c r="Z481" s="9"/>
      <c r="AA481" s="9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 t="str">
        <f>IFERROR(__xludf.DUMMYFUNCTION("""COMPUTED_VALUE"""),"")</f>
        <v/>
      </c>
      <c r="Y482" s="4"/>
      <c r="Z482" s="6"/>
      <c r="AA482" s="6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 t="str">
        <f>IFERROR(__xludf.DUMMYFUNCTION("""COMPUTED_VALUE"""),"")</f>
        <v/>
      </c>
      <c r="Y483" s="7"/>
      <c r="Z483" s="9"/>
      <c r="AA483" s="9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 t="str">
        <f>IFERROR(__xludf.DUMMYFUNCTION("""COMPUTED_VALUE"""),"")</f>
        <v/>
      </c>
      <c r="Y484" s="4"/>
      <c r="Z484" s="6"/>
      <c r="AA484" s="6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 t="str">
        <f>IFERROR(__xludf.DUMMYFUNCTION("""COMPUTED_VALUE"""),"")</f>
        <v/>
      </c>
      <c r="Y485" s="7"/>
      <c r="Z485" s="9"/>
      <c r="AA485" s="9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 t="str">
        <f>IFERROR(__xludf.DUMMYFUNCTION("""COMPUTED_VALUE"""),"")</f>
        <v/>
      </c>
      <c r="Y486" s="4"/>
      <c r="Z486" s="6"/>
      <c r="AA486" s="6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 t="str">
        <f>IFERROR(__xludf.DUMMYFUNCTION("""COMPUTED_VALUE"""),"")</f>
        <v/>
      </c>
      <c r="Y487" s="7"/>
      <c r="Z487" s="9"/>
      <c r="AA487" s="9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 t="str">
        <f>IFERROR(__xludf.DUMMYFUNCTION("""COMPUTED_VALUE"""),"")</f>
        <v/>
      </c>
      <c r="Y488" s="4"/>
      <c r="Z488" s="6"/>
      <c r="AA488" s="6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 t="str">
        <f>IFERROR(__xludf.DUMMYFUNCTION("""COMPUTED_VALUE"""),"")</f>
        <v/>
      </c>
      <c r="Y489" s="7"/>
      <c r="Z489" s="9"/>
      <c r="AA489" s="9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 t="str">
        <f>IFERROR(__xludf.DUMMYFUNCTION("""COMPUTED_VALUE"""),"")</f>
        <v/>
      </c>
      <c r="Y490" s="4"/>
      <c r="Z490" s="6"/>
      <c r="AA490" s="6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 t="str">
        <f>IFERROR(__xludf.DUMMYFUNCTION("""COMPUTED_VALUE"""),"")</f>
        <v/>
      </c>
      <c r="Y491" s="7"/>
      <c r="Z491" s="9"/>
      <c r="AA491" s="9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 t="str">
        <f>IFERROR(__xludf.DUMMYFUNCTION("""COMPUTED_VALUE"""),"")</f>
        <v/>
      </c>
      <c r="Y492" s="4"/>
      <c r="Z492" s="6"/>
      <c r="AA492" s="6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 t="str">
        <f>IFERROR(__xludf.DUMMYFUNCTION("""COMPUTED_VALUE"""),"")</f>
        <v/>
      </c>
      <c r="Y493" s="7"/>
      <c r="Z493" s="9"/>
      <c r="AA493" s="9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 t="str">
        <f>IFERROR(__xludf.DUMMYFUNCTION("""COMPUTED_VALUE"""),"")</f>
        <v/>
      </c>
      <c r="Y494" s="4"/>
      <c r="Z494" s="6"/>
      <c r="AA494" s="6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 t="str">
        <f>IFERROR(__xludf.DUMMYFUNCTION("""COMPUTED_VALUE"""),"")</f>
        <v/>
      </c>
      <c r="Y495" s="7"/>
      <c r="Z495" s="9"/>
      <c r="AA495" s="9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 t="str">
        <f>IFERROR(__xludf.DUMMYFUNCTION("""COMPUTED_VALUE"""),"")</f>
        <v/>
      </c>
      <c r="Y496" s="4"/>
      <c r="Z496" s="6"/>
      <c r="AA496" s="6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 t="str">
        <f>IFERROR(__xludf.DUMMYFUNCTION("""COMPUTED_VALUE"""),"")</f>
        <v/>
      </c>
      <c r="Y497" s="7"/>
      <c r="Z497" s="9"/>
      <c r="AA497" s="9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 t="str">
        <f>IFERROR(__xludf.DUMMYFUNCTION("""COMPUTED_VALUE"""),"")</f>
        <v/>
      </c>
      <c r="Y498" s="4"/>
      <c r="Z498" s="6"/>
      <c r="AA498" s="6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 t="str">
        <f>IFERROR(__xludf.DUMMYFUNCTION("""COMPUTED_VALUE"""),"")</f>
        <v/>
      </c>
      <c r="Y499" s="7"/>
      <c r="Z499" s="9"/>
      <c r="AA499" s="9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 t="str">
        <f>IFERROR(__xludf.DUMMYFUNCTION("""COMPUTED_VALUE"""),"")</f>
        <v/>
      </c>
      <c r="Y500" s="4"/>
      <c r="Z500" s="6"/>
      <c r="AA500" s="6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 t="str">
        <f>IFERROR(__xludf.DUMMYFUNCTION("""COMPUTED_VALUE"""),"")</f>
        <v/>
      </c>
      <c r="Y501" s="7"/>
      <c r="Z501" s="9"/>
      <c r="AA501" s="9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 t="str">
        <f>IFERROR(__xludf.DUMMYFUNCTION("""COMPUTED_VALUE"""),"")</f>
        <v/>
      </c>
      <c r="Y502" s="4"/>
      <c r="Z502" s="6"/>
      <c r="AA502" s="6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 t="str">
        <f>IFERROR(__xludf.DUMMYFUNCTION("""COMPUTED_VALUE"""),"")</f>
        <v/>
      </c>
      <c r="Y503" s="7"/>
      <c r="Z503" s="9"/>
      <c r="AA503" s="9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 t="str">
        <f>IFERROR(__xludf.DUMMYFUNCTION("""COMPUTED_VALUE"""),"")</f>
        <v/>
      </c>
      <c r="Y504" s="4"/>
      <c r="Z504" s="6"/>
      <c r="AA504" s="6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 t="str">
        <f>IFERROR(__xludf.DUMMYFUNCTION("""COMPUTED_VALUE"""),"")</f>
        <v/>
      </c>
      <c r="Y505" s="7"/>
      <c r="Z505" s="9"/>
      <c r="AA505" s="9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 t="str">
        <f>IFERROR(__xludf.DUMMYFUNCTION("""COMPUTED_VALUE"""),"")</f>
        <v/>
      </c>
      <c r="Y506" s="4"/>
      <c r="Z506" s="6"/>
      <c r="AA506" s="6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 t="str">
        <f>IFERROR(__xludf.DUMMYFUNCTION("""COMPUTED_VALUE"""),"")</f>
        <v/>
      </c>
      <c r="Y507" s="7"/>
      <c r="Z507" s="9"/>
      <c r="AA507" s="9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 t="str">
        <f>IFERROR(__xludf.DUMMYFUNCTION("""COMPUTED_VALUE"""),"")</f>
        <v/>
      </c>
      <c r="Y508" s="4"/>
      <c r="Z508" s="6"/>
      <c r="AA508" s="6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 t="str">
        <f>IFERROR(__xludf.DUMMYFUNCTION("""COMPUTED_VALUE"""),"")</f>
        <v/>
      </c>
      <c r="Y509" s="7"/>
      <c r="Z509" s="9"/>
      <c r="AA509" s="9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 t="str">
        <f>IFERROR(__xludf.DUMMYFUNCTION("""COMPUTED_VALUE"""),"")</f>
        <v/>
      </c>
      <c r="Y510" s="4"/>
      <c r="Z510" s="6"/>
      <c r="AA510" s="6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 t="str">
        <f>IFERROR(__xludf.DUMMYFUNCTION("""COMPUTED_VALUE"""),"")</f>
        <v/>
      </c>
      <c r="Y511" s="7"/>
      <c r="Z511" s="9"/>
      <c r="AA511" s="9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 t="str">
        <f>IFERROR(__xludf.DUMMYFUNCTION("""COMPUTED_VALUE"""),"")</f>
        <v/>
      </c>
      <c r="Y512" s="4"/>
      <c r="Z512" s="6"/>
      <c r="AA512" s="6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 t="str">
        <f>IFERROR(__xludf.DUMMYFUNCTION("""COMPUTED_VALUE"""),"")</f>
        <v/>
      </c>
      <c r="Y513" s="7"/>
      <c r="Z513" s="9"/>
      <c r="AA513" s="9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 t="str">
        <f>IFERROR(__xludf.DUMMYFUNCTION("""COMPUTED_VALUE"""),"")</f>
        <v/>
      </c>
      <c r="Y514" s="4"/>
      <c r="Z514" s="6"/>
      <c r="AA514" s="6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 t="str">
        <f>IFERROR(__xludf.DUMMYFUNCTION("""COMPUTED_VALUE"""),"")</f>
        <v/>
      </c>
      <c r="Y515" s="7"/>
      <c r="Z515" s="9"/>
      <c r="AA515" s="9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 t="str">
        <f>IFERROR(__xludf.DUMMYFUNCTION("""COMPUTED_VALUE"""),"")</f>
        <v/>
      </c>
      <c r="Y516" s="4"/>
      <c r="Z516" s="6"/>
      <c r="AA516" s="6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 t="str">
        <f>IFERROR(__xludf.DUMMYFUNCTION("""COMPUTED_VALUE"""),"")</f>
        <v/>
      </c>
      <c r="Y517" s="7"/>
      <c r="Z517" s="9"/>
      <c r="AA517" s="9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 t="str">
        <f>IFERROR(__xludf.DUMMYFUNCTION("""COMPUTED_VALUE"""),"")</f>
        <v/>
      </c>
      <c r="Y518" s="4"/>
      <c r="Z518" s="6"/>
      <c r="AA518" s="6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 t="str">
        <f>IFERROR(__xludf.DUMMYFUNCTION("""COMPUTED_VALUE"""),"")</f>
        <v/>
      </c>
      <c r="Y519" s="7"/>
      <c r="Z519" s="9"/>
      <c r="AA519" s="9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 t="str">
        <f>IFERROR(__xludf.DUMMYFUNCTION("""COMPUTED_VALUE"""),"")</f>
        <v/>
      </c>
      <c r="Y520" s="4"/>
      <c r="Z520" s="6"/>
      <c r="AA520" s="6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 t="str">
        <f>IFERROR(__xludf.DUMMYFUNCTION("""COMPUTED_VALUE"""),"")</f>
        <v/>
      </c>
      <c r="Y521" s="7"/>
      <c r="Z521" s="9"/>
      <c r="AA521" s="9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 t="str">
        <f>IFERROR(__xludf.DUMMYFUNCTION("""COMPUTED_VALUE"""),"")</f>
        <v/>
      </c>
      <c r="Y522" s="4"/>
      <c r="Z522" s="6"/>
      <c r="AA522" s="6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 t="str">
        <f>IFERROR(__xludf.DUMMYFUNCTION("""COMPUTED_VALUE"""),"")</f>
        <v/>
      </c>
      <c r="Y523" s="7"/>
      <c r="Z523" s="9"/>
      <c r="AA523" s="9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 t="str">
        <f>IFERROR(__xludf.DUMMYFUNCTION("""COMPUTED_VALUE"""),"")</f>
        <v/>
      </c>
      <c r="Y524" s="4"/>
      <c r="Z524" s="6"/>
      <c r="AA524" s="6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 t="str">
        <f>IFERROR(__xludf.DUMMYFUNCTION("""COMPUTED_VALUE"""),"")</f>
        <v/>
      </c>
      <c r="Y525" s="7"/>
      <c r="Z525" s="9"/>
      <c r="AA525" s="9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 t="str">
        <f>IFERROR(__xludf.DUMMYFUNCTION("""COMPUTED_VALUE"""),"")</f>
        <v/>
      </c>
      <c r="Y526" s="4"/>
      <c r="Z526" s="6"/>
      <c r="AA526" s="6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 t="str">
        <f>IFERROR(__xludf.DUMMYFUNCTION("""COMPUTED_VALUE"""),"")</f>
        <v/>
      </c>
      <c r="Y527" s="7"/>
      <c r="Z527" s="9"/>
      <c r="AA527" s="9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 t="str">
        <f>IFERROR(__xludf.DUMMYFUNCTION("""COMPUTED_VALUE"""),"")</f>
        <v/>
      </c>
      <c r="Y528" s="4"/>
      <c r="Z528" s="6"/>
      <c r="AA528" s="6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 t="str">
        <f>IFERROR(__xludf.DUMMYFUNCTION("""COMPUTED_VALUE"""),"")</f>
        <v/>
      </c>
      <c r="Y529" s="7"/>
      <c r="Z529" s="9"/>
      <c r="AA529" s="9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 t="str">
        <f>IFERROR(__xludf.DUMMYFUNCTION("""COMPUTED_VALUE"""),"")</f>
        <v/>
      </c>
      <c r="Y530" s="4"/>
      <c r="Z530" s="6"/>
      <c r="AA530" s="6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 t="str">
        <f>IFERROR(__xludf.DUMMYFUNCTION("""COMPUTED_VALUE"""),"")</f>
        <v/>
      </c>
      <c r="Y531" s="7"/>
      <c r="Z531" s="9"/>
      <c r="AA531" s="9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 t="str">
        <f>IFERROR(__xludf.DUMMYFUNCTION("""COMPUTED_VALUE"""),"")</f>
        <v/>
      </c>
      <c r="Y532" s="4"/>
      <c r="Z532" s="6"/>
      <c r="AA532" s="6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 t="str">
        <f>IFERROR(__xludf.DUMMYFUNCTION("""COMPUTED_VALUE"""),"")</f>
        <v/>
      </c>
      <c r="Y533" s="7"/>
      <c r="Z533" s="9"/>
      <c r="AA533" s="9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 t="str">
        <f>IFERROR(__xludf.DUMMYFUNCTION("""COMPUTED_VALUE"""),"")</f>
        <v/>
      </c>
      <c r="Y534" s="4"/>
      <c r="Z534" s="6"/>
      <c r="AA534" s="6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 t="str">
        <f>IFERROR(__xludf.DUMMYFUNCTION("""COMPUTED_VALUE"""),"")</f>
        <v/>
      </c>
      <c r="Y535" s="7"/>
      <c r="Z535" s="9"/>
      <c r="AA535" s="9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 t="str">
        <f>IFERROR(__xludf.DUMMYFUNCTION("""COMPUTED_VALUE"""),"")</f>
        <v/>
      </c>
      <c r="Y536" s="4"/>
      <c r="Z536" s="6"/>
      <c r="AA536" s="6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 t="str">
        <f>IFERROR(__xludf.DUMMYFUNCTION("""COMPUTED_VALUE"""),"")</f>
        <v/>
      </c>
      <c r="Y537" s="7"/>
      <c r="Z537" s="9"/>
      <c r="AA537" s="9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 t="str">
        <f>IFERROR(__xludf.DUMMYFUNCTION("""COMPUTED_VALUE"""),"")</f>
        <v/>
      </c>
      <c r="Y538" s="4"/>
      <c r="Z538" s="6"/>
      <c r="AA538" s="6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 t="str">
        <f>IFERROR(__xludf.DUMMYFUNCTION("""COMPUTED_VALUE"""),"")</f>
        <v/>
      </c>
      <c r="Y539" s="7"/>
      <c r="Z539" s="9"/>
      <c r="AA539" s="9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 t="str">
        <f>IFERROR(__xludf.DUMMYFUNCTION("""COMPUTED_VALUE"""),"")</f>
        <v/>
      </c>
      <c r="Y540" s="4"/>
      <c r="Z540" s="6"/>
      <c r="AA540" s="6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 t="str">
        <f>IFERROR(__xludf.DUMMYFUNCTION("""COMPUTED_VALUE"""),"")</f>
        <v/>
      </c>
      <c r="Y541" s="7"/>
      <c r="Z541" s="9"/>
      <c r="AA541" s="9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 t="str">
        <f>IFERROR(__xludf.DUMMYFUNCTION("""COMPUTED_VALUE"""),"")</f>
        <v/>
      </c>
      <c r="Y542" s="4"/>
      <c r="Z542" s="6"/>
      <c r="AA542" s="6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 t="str">
        <f>IFERROR(__xludf.DUMMYFUNCTION("""COMPUTED_VALUE"""),"")</f>
        <v/>
      </c>
      <c r="Y543" s="7"/>
      <c r="Z543" s="9"/>
      <c r="AA543" s="9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 t="str">
        <f>IFERROR(__xludf.DUMMYFUNCTION("""COMPUTED_VALUE"""),"")</f>
        <v/>
      </c>
      <c r="Y544" s="4"/>
      <c r="Z544" s="6"/>
      <c r="AA544" s="6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 t="str">
        <f>IFERROR(__xludf.DUMMYFUNCTION("""COMPUTED_VALUE"""),"")</f>
        <v/>
      </c>
      <c r="Y545" s="7"/>
      <c r="Z545" s="9"/>
      <c r="AA545" s="9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 t="str">
        <f>IFERROR(__xludf.DUMMYFUNCTION("""COMPUTED_VALUE"""),"")</f>
        <v/>
      </c>
      <c r="Y546" s="4"/>
      <c r="Z546" s="6"/>
      <c r="AA546" s="6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 t="str">
        <f>IFERROR(__xludf.DUMMYFUNCTION("""COMPUTED_VALUE"""),"")</f>
        <v/>
      </c>
      <c r="Y547" s="7"/>
      <c r="Z547" s="9"/>
      <c r="AA547" s="9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 t="str">
        <f>IFERROR(__xludf.DUMMYFUNCTION("""COMPUTED_VALUE"""),"")</f>
        <v/>
      </c>
      <c r="Y548" s="4"/>
      <c r="Z548" s="6"/>
      <c r="AA548" s="6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 t="str">
        <f>IFERROR(__xludf.DUMMYFUNCTION("""COMPUTED_VALUE"""),"")</f>
        <v/>
      </c>
      <c r="Y549" s="7"/>
      <c r="Z549" s="9"/>
      <c r="AA549" s="9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 t="str">
        <f>IFERROR(__xludf.DUMMYFUNCTION("""COMPUTED_VALUE"""),"")</f>
        <v/>
      </c>
      <c r="Y550" s="4"/>
      <c r="Z550" s="6"/>
      <c r="AA550" s="6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 t="str">
        <f>IFERROR(__xludf.DUMMYFUNCTION("""COMPUTED_VALUE"""),"")</f>
        <v/>
      </c>
      <c r="Y551" s="7"/>
      <c r="Z551" s="9"/>
      <c r="AA551" s="9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 t="str">
        <f>IFERROR(__xludf.DUMMYFUNCTION("""COMPUTED_VALUE"""),"")</f>
        <v/>
      </c>
      <c r="Y552" s="4"/>
      <c r="Z552" s="6"/>
      <c r="AA552" s="6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 t="str">
        <f>IFERROR(__xludf.DUMMYFUNCTION("""COMPUTED_VALUE"""),"")</f>
        <v/>
      </c>
      <c r="Y553" s="7"/>
      <c r="Z553" s="9"/>
      <c r="AA553" s="9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 t="str">
        <f>IFERROR(__xludf.DUMMYFUNCTION("""COMPUTED_VALUE"""),"")</f>
        <v/>
      </c>
      <c r="Y554" s="4"/>
      <c r="Z554" s="6"/>
      <c r="AA554" s="6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 t="str">
        <f>IFERROR(__xludf.DUMMYFUNCTION("""COMPUTED_VALUE"""),"")</f>
        <v/>
      </c>
      <c r="Y555" s="7"/>
      <c r="Z555" s="9"/>
      <c r="AA555" s="9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 t="str">
        <f>IFERROR(__xludf.DUMMYFUNCTION("""COMPUTED_VALUE"""),"")</f>
        <v/>
      </c>
      <c r="Y556" s="4"/>
      <c r="Z556" s="6"/>
      <c r="AA556" s="6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 t="str">
        <f>IFERROR(__xludf.DUMMYFUNCTION("""COMPUTED_VALUE"""),"")</f>
        <v/>
      </c>
      <c r="Y557" s="7"/>
      <c r="Z557" s="9"/>
      <c r="AA557" s="9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 t="str">
        <f>IFERROR(__xludf.DUMMYFUNCTION("""COMPUTED_VALUE"""),"")</f>
        <v/>
      </c>
      <c r="Y558" s="4"/>
      <c r="Z558" s="6"/>
      <c r="AA558" s="6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 t="str">
        <f>IFERROR(__xludf.DUMMYFUNCTION("""COMPUTED_VALUE"""),"")</f>
        <v/>
      </c>
      <c r="Y559" s="7"/>
      <c r="Z559" s="9"/>
      <c r="AA559" s="9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 t="str">
        <f>IFERROR(__xludf.DUMMYFUNCTION("""COMPUTED_VALUE"""),"")</f>
        <v/>
      </c>
      <c r="Y560" s="4"/>
      <c r="Z560" s="6"/>
      <c r="AA560" s="6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 t="str">
        <f>IFERROR(__xludf.DUMMYFUNCTION("""COMPUTED_VALUE"""),"")</f>
        <v/>
      </c>
      <c r="Y561" s="7"/>
      <c r="Z561" s="9"/>
      <c r="AA561" s="9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 t="str">
        <f>IFERROR(__xludf.DUMMYFUNCTION("""COMPUTED_VALUE"""),"")</f>
        <v/>
      </c>
      <c r="Y562" s="4"/>
      <c r="Z562" s="6"/>
      <c r="AA562" s="6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 t="str">
        <f>IFERROR(__xludf.DUMMYFUNCTION("""COMPUTED_VALUE"""),"")</f>
        <v/>
      </c>
      <c r="Y563" s="7"/>
      <c r="Z563" s="9"/>
      <c r="AA563" s="9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 t="str">
        <f>IFERROR(__xludf.DUMMYFUNCTION("""COMPUTED_VALUE"""),"")</f>
        <v/>
      </c>
      <c r="Y564" s="4"/>
      <c r="Z564" s="6"/>
      <c r="AA564" s="6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 t="str">
        <f>IFERROR(__xludf.DUMMYFUNCTION("""COMPUTED_VALUE"""),"")</f>
        <v/>
      </c>
      <c r="Y565" s="7"/>
      <c r="Z565" s="9"/>
      <c r="AA565" s="9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 t="str">
        <f>IFERROR(__xludf.DUMMYFUNCTION("""COMPUTED_VALUE"""),"")</f>
        <v/>
      </c>
      <c r="Y566" s="4"/>
      <c r="Z566" s="6"/>
      <c r="AA566" s="6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 t="str">
        <f>IFERROR(__xludf.DUMMYFUNCTION("""COMPUTED_VALUE"""),"")</f>
        <v/>
      </c>
      <c r="Y567" s="7"/>
      <c r="Z567" s="9"/>
      <c r="AA567" s="9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 t="str">
        <f>IFERROR(__xludf.DUMMYFUNCTION("""COMPUTED_VALUE"""),"")</f>
        <v/>
      </c>
      <c r="Y568" s="4"/>
      <c r="Z568" s="6"/>
      <c r="AA568" s="6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 t="str">
        <f>IFERROR(__xludf.DUMMYFUNCTION("""COMPUTED_VALUE"""),"")</f>
        <v/>
      </c>
      <c r="Y569" s="7"/>
      <c r="Z569" s="9"/>
      <c r="AA569" s="9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 t="str">
        <f>IFERROR(__xludf.DUMMYFUNCTION("""COMPUTED_VALUE"""),"")</f>
        <v/>
      </c>
      <c r="Y570" s="4"/>
      <c r="Z570" s="6"/>
      <c r="AA570" s="6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 t="str">
        <f>IFERROR(__xludf.DUMMYFUNCTION("""COMPUTED_VALUE"""),"")</f>
        <v/>
      </c>
      <c r="Y571" s="7"/>
      <c r="Z571" s="9"/>
      <c r="AA571" s="9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 t="str">
        <f>IFERROR(__xludf.DUMMYFUNCTION("""COMPUTED_VALUE"""),"")</f>
        <v/>
      </c>
      <c r="Y572" s="4"/>
      <c r="Z572" s="6"/>
      <c r="AA572" s="6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 t="str">
        <f>IFERROR(__xludf.DUMMYFUNCTION("""COMPUTED_VALUE"""),"")</f>
        <v/>
      </c>
      <c r="Y573" s="7"/>
      <c r="Z573" s="9"/>
      <c r="AA573" s="9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 t="str">
        <f>IFERROR(__xludf.DUMMYFUNCTION("""COMPUTED_VALUE"""),"")</f>
        <v/>
      </c>
      <c r="Y574" s="4"/>
      <c r="Z574" s="6"/>
      <c r="AA574" s="6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 t="str">
        <f>IFERROR(__xludf.DUMMYFUNCTION("""COMPUTED_VALUE"""),"")</f>
        <v/>
      </c>
      <c r="Y575" s="7"/>
      <c r="Z575" s="9"/>
      <c r="AA575" s="9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 t="str">
        <f>IFERROR(__xludf.DUMMYFUNCTION("""COMPUTED_VALUE"""),"")</f>
        <v/>
      </c>
      <c r="Y576" s="4"/>
      <c r="Z576" s="6"/>
      <c r="AA576" s="6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 t="str">
        <f>IFERROR(__xludf.DUMMYFUNCTION("""COMPUTED_VALUE"""),"")</f>
        <v/>
      </c>
      <c r="Y577" s="7"/>
      <c r="Z577" s="9"/>
      <c r="AA577" s="9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 t="str">
        <f>IFERROR(__xludf.DUMMYFUNCTION("""COMPUTED_VALUE"""),"")</f>
        <v/>
      </c>
      <c r="Y578" s="4"/>
      <c r="Z578" s="6"/>
      <c r="AA578" s="6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 t="str">
        <f>IFERROR(__xludf.DUMMYFUNCTION("""COMPUTED_VALUE"""),"")</f>
        <v/>
      </c>
      <c r="Y579" s="7"/>
      <c r="Z579" s="9"/>
      <c r="AA579" s="9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 t="str">
        <f>IFERROR(__xludf.DUMMYFUNCTION("""COMPUTED_VALUE"""),"")</f>
        <v/>
      </c>
      <c r="Y580" s="4"/>
      <c r="Z580" s="6"/>
      <c r="AA580" s="6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 t="str">
        <f>IFERROR(__xludf.DUMMYFUNCTION("""COMPUTED_VALUE"""),"")</f>
        <v/>
      </c>
      <c r="Y581" s="7"/>
      <c r="Z581" s="9"/>
      <c r="AA581" s="9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 t="str">
        <f>IFERROR(__xludf.DUMMYFUNCTION("""COMPUTED_VALUE"""),"")</f>
        <v/>
      </c>
      <c r="Y582" s="4"/>
      <c r="Z582" s="6"/>
      <c r="AA582" s="6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 t="str">
        <f>IFERROR(__xludf.DUMMYFUNCTION("""COMPUTED_VALUE"""),"")</f>
        <v/>
      </c>
      <c r="Y583" s="7"/>
      <c r="Z583" s="9"/>
      <c r="AA583" s="9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 t="str">
        <f>IFERROR(__xludf.DUMMYFUNCTION("""COMPUTED_VALUE"""),"")</f>
        <v/>
      </c>
      <c r="Y584" s="4"/>
      <c r="Z584" s="6"/>
      <c r="AA584" s="6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 t="str">
        <f>IFERROR(__xludf.DUMMYFUNCTION("""COMPUTED_VALUE"""),"")</f>
        <v/>
      </c>
      <c r="Y585" s="7"/>
      <c r="Z585" s="9"/>
      <c r="AA585" s="9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 t="str">
        <f>IFERROR(__xludf.DUMMYFUNCTION("""COMPUTED_VALUE"""),"")</f>
        <v/>
      </c>
      <c r="Y586" s="4"/>
      <c r="Z586" s="6"/>
      <c r="AA586" s="6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 t="str">
        <f>IFERROR(__xludf.DUMMYFUNCTION("""COMPUTED_VALUE"""),"")</f>
        <v/>
      </c>
      <c r="Y587" s="7"/>
      <c r="Z587" s="9"/>
      <c r="AA587" s="9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 t="str">
        <f>IFERROR(__xludf.DUMMYFUNCTION("""COMPUTED_VALUE"""),"")</f>
        <v/>
      </c>
      <c r="Y588" s="4"/>
      <c r="Z588" s="6"/>
      <c r="AA588" s="6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 t="str">
        <f>IFERROR(__xludf.DUMMYFUNCTION("""COMPUTED_VALUE"""),"")</f>
        <v/>
      </c>
      <c r="Y589" s="7"/>
      <c r="Z589" s="9"/>
      <c r="AA589" s="9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 t="str">
        <f>IFERROR(__xludf.DUMMYFUNCTION("""COMPUTED_VALUE"""),"")</f>
        <v/>
      </c>
      <c r="Y590" s="4"/>
      <c r="Z590" s="6"/>
      <c r="AA590" s="6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 t="str">
        <f>IFERROR(__xludf.DUMMYFUNCTION("""COMPUTED_VALUE"""),"")</f>
        <v/>
      </c>
      <c r="Y591" s="7"/>
      <c r="Z591" s="9"/>
      <c r="AA591" s="9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 t="str">
        <f>IFERROR(__xludf.DUMMYFUNCTION("""COMPUTED_VALUE"""),"")</f>
        <v/>
      </c>
      <c r="Y592" s="4"/>
      <c r="Z592" s="6"/>
      <c r="AA592" s="6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 t="str">
        <f>IFERROR(__xludf.DUMMYFUNCTION("""COMPUTED_VALUE"""),"")</f>
        <v/>
      </c>
      <c r="Y593" s="7"/>
      <c r="Z593" s="9"/>
      <c r="AA593" s="9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 t="str">
        <f>IFERROR(__xludf.DUMMYFUNCTION("""COMPUTED_VALUE"""),"")</f>
        <v/>
      </c>
      <c r="Y594" s="4"/>
      <c r="Z594" s="6"/>
      <c r="AA594" s="6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 t="str">
        <f>IFERROR(__xludf.DUMMYFUNCTION("""COMPUTED_VALUE"""),"")</f>
        <v/>
      </c>
      <c r="Y595" s="7"/>
      <c r="Z595" s="9"/>
      <c r="AA595" s="9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 t="str">
        <f>IFERROR(__xludf.DUMMYFUNCTION("""COMPUTED_VALUE"""),"")</f>
        <v/>
      </c>
      <c r="Y596" s="4"/>
      <c r="Z596" s="6"/>
      <c r="AA596" s="6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 t="str">
        <f>IFERROR(__xludf.DUMMYFUNCTION("""COMPUTED_VALUE"""),"")</f>
        <v/>
      </c>
      <c r="Y597" s="7"/>
      <c r="Z597" s="9"/>
      <c r="AA597" s="9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 t="str">
        <f>IFERROR(__xludf.DUMMYFUNCTION("""COMPUTED_VALUE"""),"")</f>
        <v/>
      </c>
      <c r="Y598" s="4"/>
      <c r="Z598" s="6"/>
      <c r="AA598" s="6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 t="str">
        <f>IFERROR(__xludf.DUMMYFUNCTION("""COMPUTED_VALUE"""),"")</f>
        <v/>
      </c>
      <c r="Y599" s="7"/>
      <c r="Z599" s="9"/>
      <c r="AA599" s="9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 t="str">
        <f>IFERROR(__xludf.DUMMYFUNCTION("""COMPUTED_VALUE"""),"")</f>
        <v/>
      </c>
      <c r="Y600" s="4"/>
      <c r="Z600" s="6"/>
      <c r="AA600" s="6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 t="str">
        <f>IFERROR(__xludf.DUMMYFUNCTION("""COMPUTED_VALUE"""),"")</f>
        <v/>
      </c>
      <c r="Y601" s="7"/>
      <c r="Z601" s="9"/>
      <c r="AA601" s="9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 t="str">
        <f>IFERROR(__xludf.DUMMYFUNCTION("""COMPUTED_VALUE"""),"")</f>
        <v/>
      </c>
      <c r="Y602" s="4"/>
      <c r="Z602" s="6"/>
      <c r="AA602" s="6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 t="str">
        <f>IFERROR(__xludf.DUMMYFUNCTION("""COMPUTED_VALUE"""),"")</f>
        <v/>
      </c>
      <c r="Y603" s="7"/>
      <c r="Z603" s="9"/>
      <c r="AA603" s="9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 t="str">
        <f>IFERROR(__xludf.DUMMYFUNCTION("""COMPUTED_VALUE"""),"")</f>
        <v/>
      </c>
      <c r="Y604" s="4"/>
      <c r="Z604" s="6"/>
      <c r="AA604" s="6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 t="str">
        <f>IFERROR(__xludf.DUMMYFUNCTION("""COMPUTED_VALUE"""),"")</f>
        <v/>
      </c>
      <c r="Y605" s="7"/>
      <c r="Z605" s="9"/>
      <c r="AA605" s="9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 t="str">
        <f>IFERROR(__xludf.DUMMYFUNCTION("""COMPUTED_VALUE"""),"")</f>
        <v/>
      </c>
      <c r="Y606" s="4"/>
      <c r="Z606" s="6"/>
      <c r="AA606" s="6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 t="str">
        <f>IFERROR(__xludf.DUMMYFUNCTION("""COMPUTED_VALUE"""),"")</f>
        <v/>
      </c>
      <c r="Y607" s="7"/>
      <c r="Z607" s="9"/>
      <c r="AA607" s="9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 t="str">
        <f>IFERROR(__xludf.DUMMYFUNCTION("""COMPUTED_VALUE"""),"")</f>
        <v/>
      </c>
      <c r="Y608" s="4"/>
      <c r="Z608" s="6"/>
      <c r="AA608" s="6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 t="str">
        <f>IFERROR(__xludf.DUMMYFUNCTION("""COMPUTED_VALUE"""),"")</f>
        <v/>
      </c>
      <c r="Y609" s="7"/>
      <c r="Z609" s="9"/>
      <c r="AA609" s="9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 t="str">
        <f>IFERROR(__xludf.DUMMYFUNCTION("""COMPUTED_VALUE"""),"")</f>
        <v/>
      </c>
      <c r="Y610" s="4"/>
      <c r="Z610" s="6"/>
      <c r="AA610" s="6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 t="str">
        <f>IFERROR(__xludf.DUMMYFUNCTION("""COMPUTED_VALUE"""),"")</f>
        <v/>
      </c>
      <c r="Y611" s="7"/>
      <c r="Z611" s="9"/>
      <c r="AA611" s="9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 t="str">
        <f>IFERROR(__xludf.DUMMYFUNCTION("""COMPUTED_VALUE"""),"")</f>
        <v/>
      </c>
      <c r="Y612" s="4"/>
      <c r="Z612" s="6"/>
      <c r="AA612" s="6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 t="str">
        <f>IFERROR(__xludf.DUMMYFUNCTION("""COMPUTED_VALUE"""),"")</f>
        <v/>
      </c>
      <c r="Y613" s="7"/>
      <c r="Z613" s="9"/>
      <c r="AA613" s="9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 t="str">
        <f>IFERROR(__xludf.DUMMYFUNCTION("""COMPUTED_VALUE"""),"")</f>
        <v/>
      </c>
      <c r="Y614" s="4"/>
      <c r="Z614" s="6"/>
      <c r="AA614" s="6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 t="str">
        <f>IFERROR(__xludf.DUMMYFUNCTION("""COMPUTED_VALUE"""),"")</f>
        <v/>
      </c>
      <c r="Y615" s="7"/>
      <c r="Z615" s="9"/>
      <c r="AA615" s="9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 t="str">
        <f>IFERROR(__xludf.DUMMYFUNCTION("""COMPUTED_VALUE"""),"")</f>
        <v/>
      </c>
      <c r="Y616" s="4"/>
      <c r="Z616" s="6"/>
      <c r="AA616" s="6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 t="str">
        <f>IFERROR(__xludf.DUMMYFUNCTION("""COMPUTED_VALUE"""),"")</f>
        <v/>
      </c>
      <c r="Y617" s="7"/>
      <c r="Z617" s="9"/>
      <c r="AA617" s="9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 t="str">
        <f>IFERROR(__xludf.DUMMYFUNCTION("""COMPUTED_VALUE"""),"")</f>
        <v/>
      </c>
      <c r="Y618" s="4"/>
      <c r="Z618" s="6"/>
      <c r="AA618" s="6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 t="str">
        <f>IFERROR(__xludf.DUMMYFUNCTION("""COMPUTED_VALUE"""),"")</f>
        <v/>
      </c>
      <c r="Y619" s="7"/>
      <c r="Z619" s="9"/>
      <c r="AA619" s="9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 t="str">
        <f>IFERROR(__xludf.DUMMYFUNCTION("""COMPUTED_VALUE"""),"")</f>
        <v/>
      </c>
      <c r="Y620" s="4"/>
      <c r="Z620" s="6"/>
      <c r="AA620" s="6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 t="str">
        <f>IFERROR(__xludf.DUMMYFUNCTION("""COMPUTED_VALUE"""),"")</f>
        <v/>
      </c>
      <c r="Y621" s="7"/>
      <c r="Z621" s="9"/>
      <c r="AA621" s="9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 t="str">
        <f>IFERROR(__xludf.DUMMYFUNCTION("""COMPUTED_VALUE"""),"")</f>
        <v/>
      </c>
      <c r="Y622" s="4"/>
      <c r="Z622" s="6"/>
      <c r="AA622" s="6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 t="str">
        <f>IFERROR(__xludf.DUMMYFUNCTION("""COMPUTED_VALUE"""),"")</f>
        <v/>
      </c>
      <c r="Y623" s="7"/>
      <c r="Z623" s="9"/>
      <c r="AA623" s="9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 t="str">
        <f>IFERROR(__xludf.DUMMYFUNCTION("""COMPUTED_VALUE"""),"")</f>
        <v/>
      </c>
      <c r="Y624" s="4"/>
      <c r="Z624" s="6"/>
      <c r="AA624" s="6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 t="str">
        <f>IFERROR(__xludf.DUMMYFUNCTION("""COMPUTED_VALUE"""),"")</f>
        <v/>
      </c>
      <c r="Y625" s="7"/>
      <c r="Z625" s="9"/>
      <c r="AA625" s="9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 t="str">
        <f>IFERROR(__xludf.DUMMYFUNCTION("""COMPUTED_VALUE"""),"")</f>
        <v/>
      </c>
      <c r="Y626" s="4"/>
      <c r="Z626" s="6"/>
      <c r="AA626" s="6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 t="str">
        <f>IFERROR(__xludf.DUMMYFUNCTION("""COMPUTED_VALUE"""),"")</f>
        <v/>
      </c>
      <c r="Y627" s="7"/>
      <c r="Z627" s="9"/>
      <c r="AA627" s="9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 t="str">
        <f>IFERROR(__xludf.DUMMYFUNCTION("""COMPUTED_VALUE"""),"")</f>
        <v/>
      </c>
      <c r="Y628" s="4"/>
      <c r="Z628" s="6"/>
      <c r="AA628" s="6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 t="str">
        <f>IFERROR(__xludf.DUMMYFUNCTION("""COMPUTED_VALUE"""),"")</f>
        <v/>
      </c>
      <c r="Y629" s="7"/>
      <c r="Z629" s="9"/>
      <c r="AA629" s="9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 t="str">
        <f>IFERROR(__xludf.DUMMYFUNCTION("""COMPUTED_VALUE"""),"")</f>
        <v/>
      </c>
      <c r="Y630" s="4"/>
      <c r="Z630" s="6"/>
      <c r="AA630" s="6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 t="str">
        <f>IFERROR(__xludf.DUMMYFUNCTION("""COMPUTED_VALUE"""),"")</f>
        <v/>
      </c>
      <c r="Y631" s="7"/>
      <c r="Z631" s="9"/>
      <c r="AA631" s="9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 t="str">
        <f>IFERROR(__xludf.DUMMYFUNCTION("""COMPUTED_VALUE"""),"")</f>
        <v/>
      </c>
      <c r="Y632" s="4"/>
      <c r="Z632" s="6"/>
      <c r="AA632" s="6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 t="str">
        <f>IFERROR(__xludf.DUMMYFUNCTION("""COMPUTED_VALUE"""),"")</f>
        <v/>
      </c>
      <c r="Y633" s="7"/>
      <c r="Z633" s="9"/>
      <c r="AA633" s="9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 t="str">
        <f>IFERROR(__xludf.DUMMYFUNCTION("""COMPUTED_VALUE"""),"")</f>
        <v/>
      </c>
      <c r="Y634" s="4"/>
      <c r="Z634" s="6"/>
      <c r="AA634" s="6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 t="str">
        <f>IFERROR(__xludf.DUMMYFUNCTION("""COMPUTED_VALUE"""),"")</f>
        <v/>
      </c>
      <c r="Y635" s="7"/>
      <c r="Z635" s="9"/>
      <c r="AA635" s="9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 t="str">
        <f>IFERROR(__xludf.DUMMYFUNCTION("""COMPUTED_VALUE"""),"")</f>
        <v/>
      </c>
      <c r="Y636" s="4"/>
      <c r="Z636" s="6"/>
      <c r="AA636" s="6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 t="str">
        <f>IFERROR(__xludf.DUMMYFUNCTION("""COMPUTED_VALUE"""),"")</f>
        <v/>
      </c>
      <c r="Y637" s="7"/>
      <c r="Z637" s="9"/>
      <c r="AA637" s="9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 t="str">
        <f>IFERROR(__xludf.DUMMYFUNCTION("""COMPUTED_VALUE"""),"")</f>
        <v/>
      </c>
      <c r="Y638" s="4"/>
      <c r="Z638" s="6"/>
      <c r="AA638" s="6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 t="str">
        <f>IFERROR(__xludf.DUMMYFUNCTION("""COMPUTED_VALUE"""),"")</f>
        <v/>
      </c>
      <c r="Y639" s="7"/>
      <c r="Z639" s="9"/>
      <c r="AA639" s="9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 t="str">
        <f>IFERROR(__xludf.DUMMYFUNCTION("""COMPUTED_VALUE"""),"")</f>
        <v/>
      </c>
      <c r="Y640" s="4"/>
      <c r="Z640" s="6"/>
      <c r="AA640" s="6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 t="str">
        <f>IFERROR(__xludf.DUMMYFUNCTION("""COMPUTED_VALUE"""),"")</f>
        <v/>
      </c>
      <c r="Y641" s="7"/>
      <c r="Z641" s="9"/>
      <c r="AA641" s="9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 t="str">
        <f>IFERROR(__xludf.DUMMYFUNCTION("""COMPUTED_VALUE"""),"")</f>
        <v/>
      </c>
      <c r="Y642" s="4"/>
      <c r="Z642" s="6"/>
      <c r="AA642" s="6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 t="str">
        <f>IFERROR(__xludf.DUMMYFUNCTION("""COMPUTED_VALUE"""),"")</f>
        <v/>
      </c>
      <c r="Y643" s="7"/>
      <c r="Z643" s="9"/>
      <c r="AA643" s="9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 t="str">
        <f>IFERROR(__xludf.DUMMYFUNCTION("""COMPUTED_VALUE"""),"")</f>
        <v/>
      </c>
      <c r="Y644" s="4"/>
      <c r="Z644" s="6"/>
      <c r="AA644" s="6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 t="str">
        <f>IFERROR(__xludf.DUMMYFUNCTION("""COMPUTED_VALUE"""),"")</f>
        <v/>
      </c>
      <c r="Y645" s="7"/>
      <c r="Z645" s="9"/>
      <c r="AA645" s="9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 t="str">
        <f>IFERROR(__xludf.DUMMYFUNCTION("""COMPUTED_VALUE"""),"")</f>
        <v/>
      </c>
      <c r="Y646" s="4"/>
      <c r="Z646" s="6"/>
      <c r="AA646" s="6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 t="str">
        <f>IFERROR(__xludf.DUMMYFUNCTION("""COMPUTED_VALUE"""),"")</f>
        <v/>
      </c>
      <c r="Y647" s="7"/>
      <c r="Z647" s="9"/>
      <c r="AA647" s="9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 t="str">
        <f>IFERROR(__xludf.DUMMYFUNCTION("""COMPUTED_VALUE"""),"")</f>
        <v/>
      </c>
      <c r="Y648" s="4"/>
      <c r="Z648" s="6"/>
      <c r="AA648" s="6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 t="str">
        <f>IFERROR(__xludf.DUMMYFUNCTION("""COMPUTED_VALUE"""),"")</f>
        <v/>
      </c>
      <c r="Y649" s="7"/>
      <c r="Z649" s="9"/>
      <c r="AA649" s="9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 t="str">
        <f>IFERROR(__xludf.DUMMYFUNCTION("""COMPUTED_VALUE"""),"")</f>
        <v/>
      </c>
      <c r="Y650" s="4"/>
      <c r="Z650" s="6"/>
      <c r="AA650" s="6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 t="str">
        <f>IFERROR(__xludf.DUMMYFUNCTION("""COMPUTED_VALUE"""),"")</f>
        <v/>
      </c>
      <c r="Y651" s="7"/>
      <c r="Z651" s="9"/>
      <c r="AA651" s="9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 t="str">
        <f>IFERROR(__xludf.DUMMYFUNCTION("""COMPUTED_VALUE"""),"")</f>
        <v/>
      </c>
      <c r="Y652" s="4"/>
      <c r="Z652" s="6"/>
      <c r="AA652" s="6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 t="str">
        <f>IFERROR(__xludf.DUMMYFUNCTION("""COMPUTED_VALUE"""),"")</f>
        <v/>
      </c>
      <c r="Y653" s="7"/>
      <c r="Z653" s="9"/>
      <c r="AA653" s="9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 t="str">
        <f>IFERROR(__xludf.DUMMYFUNCTION("""COMPUTED_VALUE"""),"")</f>
        <v/>
      </c>
      <c r="Y654" s="4"/>
      <c r="Z654" s="6"/>
      <c r="AA654" s="6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 t="str">
        <f>IFERROR(__xludf.DUMMYFUNCTION("""COMPUTED_VALUE"""),"")</f>
        <v/>
      </c>
      <c r="Y655" s="7"/>
      <c r="Z655" s="9"/>
      <c r="AA655" s="9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 t="str">
        <f>IFERROR(__xludf.DUMMYFUNCTION("""COMPUTED_VALUE"""),"")</f>
        <v/>
      </c>
      <c r="Y656" s="4"/>
      <c r="Z656" s="6"/>
      <c r="AA656" s="6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 t="str">
        <f>IFERROR(__xludf.DUMMYFUNCTION("""COMPUTED_VALUE"""),"")</f>
        <v/>
      </c>
      <c r="Y657" s="7"/>
      <c r="Z657" s="9"/>
      <c r="AA657" s="9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 t="str">
        <f>IFERROR(__xludf.DUMMYFUNCTION("""COMPUTED_VALUE"""),"")</f>
        <v/>
      </c>
      <c r="Y658" s="4"/>
      <c r="Z658" s="6"/>
      <c r="AA658" s="6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 t="str">
        <f>IFERROR(__xludf.DUMMYFUNCTION("""COMPUTED_VALUE"""),"")</f>
        <v/>
      </c>
      <c r="Y659" s="7"/>
      <c r="Z659" s="9"/>
      <c r="AA659" s="9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 t="str">
        <f>IFERROR(__xludf.DUMMYFUNCTION("""COMPUTED_VALUE"""),"")</f>
        <v/>
      </c>
      <c r="Y660" s="4"/>
      <c r="Z660" s="6"/>
      <c r="AA660" s="6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 t="str">
        <f>IFERROR(__xludf.DUMMYFUNCTION("""COMPUTED_VALUE"""),"")</f>
        <v/>
      </c>
      <c r="Y661" s="7"/>
      <c r="Z661" s="9"/>
      <c r="AA661" s="9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 t="str">
        <f>IFERROR(__xludf.DUMMYFUNCTION("""COMPUTED_VALUE"""),"")</f>
        <v/>
      </c>
      <c r="Y662" s="4"/>
      <c r="Z662" s="6"/>
      <c r="AA662" s="6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 t="str">
        <f>IFERROR(__xludf.DUMMYFUNCTION("""COMPUTED_VALUE"""),"")</f>
        <v/>
      </c>
      <c r="Y663" s="7"/>
      <c r="Z663" s="9"/>
      <c r="AA663" s="9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 t="str">
        <f>IFERROR(__xludf.DUMMYFUNCTION("""COMPUTED_VALUE"""),"")</f>
        <v/>
      </c>
      <c r="Y664" s="4"/>
      <c r="Z664" s="6"/>
      <c r="AA664" s="6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 t="str">
        <f>IFERROR(__xludf.DUMMYFUNCTION("""COMPUTED_VALUE"""),"")</f>
        <v/>
      </c>
      <c r="Y665" s="7"/>
      <c r="Z665" s="9"/>
      <c r="AA665" s="9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 t="str">
        <f>IFERROR(__xludf.DUMMYFUNCTION("""COMPUTED_VALUE"""),"")</f>
        <v/>
      </c>
      <c r="Y666" s="4"/>
      <c r="Z666" s="6"/>
      <c r="AA666" s="6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 t="str">
        <f>IFERROR(__xludf.DUMMYFUNCTION("""COMPUTED_VALUE"""),"")</f>
        <v/>
      </c>
      <c r="Y667" s="7"/>
      <c r="Z667" s="9"/>
      <c r="AA667" s="9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 t="str">
        <f>IFERROR(__xludf.DUMMYFUNCTION("""COMPUTED_VALUE"""),"")</f>
        <v/>
      </c>
      <c r="Y668" s="4"/>
      <c r="Z668" s="6"/>
      <c r="AA668" s="6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 t="str">
        <f>IFERROR(__xludf.DUMMYFUNCTION("""COMPUTED_VALUE"""),"")</f>
        <v/>
      </c>
      <c r="Y669" s="7"/>
      <c r="Z669" s="9"/>
      <c r="AA669" s="9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 t="str">
        <f>IFERROR(__xludf.DUMMYFUNCTION("""COMPUTED_VALUE"""),"")</f>
        <v/>
      </c>
      <c r="Y670" s="4"/>
      <c r="Z670" s="6"/>
      <c r="AA670" s="6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 t="str">
        <f>IFERROR(__xludf.DUMMYFUNCTION("""COMPUTED_VALUE"""),"")</f>
        <v/>
      </c>
      <c r="Y671" s="7"/>
      <c r="Z671" s="9"/>
      <c r="AA671" s="9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 t="str">
        <f>IFERROR(__xludf.DUMMYFUNCTION("""COMPUTED_VALUE"""),"")</f>
        <v/>
      </c>
      <c r="Y672" s="4"/>
      <c r="Z672" s="6"/>
      <c r="AA672" s="6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 t="str">
        <f>IFERROR(__xludf.DUMMYFUNCTION("""COMPUTED_VALUE"""),"")</f>
        <v/>
      </c>
      <c r="Y673" s="7"/>
      <c r="Z673" s="9"/>
      <c r="AA673" s="9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 t="str">
        <f>IFERROR(__xludf.DUMMYFUNCTION("""COMPUTED_VALUE"""),"")</f>
        <v/>
      </c>
      <c r="Y674" s="4"/>
      <c r="Z674" s="6"/>
      <c r="AA674" s="6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 t="str">
        <f>IFERROR(__xludf.DUMMYFUNCTION("""COMPUTED_VALUE"""),"")</f>
        <v/>
      </c>
      <c r="Y675" s="7"/>
      <c r="Z675" s="9"/>
      <c r="AA675" s="9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 t="str">
        <f>IFERROR(__xludf.DUMMYFUNCTION("""COMPUTED_VALUE"""),"")</f>
        <v/>
      </c>
      <c r="Y676" s="4"/>
      <c r="Z676" s="6"/>
      <c r="AA676" s="6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 t="str">
        <f>IFERROR(__xludf.DUMMYFUNCTION("""COMPUTED_VALUE"""),"")</f>
        <v/>
      </c>
      <c r="Y677" s="7"/>
      <c r="Z677" s="9"/>
      <c r="AA677" s="9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 t="str">
        <f>IFERROR(__xludf.DUMMYFUNCTION("""COMPUTED_VALUE"""),"")</f>
        <v/>
      </c>
      <c r="Y678" s="4"/>
      <c r="Z678" s="6"/>
      <c r="AA678" s="6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 t="str">
        <f>IFERROR(__xludf.DUMMYFUNCTION("""COMPUTED_VALUE"""),"")</f>
        <v/>
      </c>
      <c r="Y679" s="7"/>
      <c r="Z679" s="9"/>
      <c r="AA679" s="9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 t="str">
        <f>IFERROR(__xludf.DUMMYFUNCTION("""COMPUTED_VALUE"""),"")</f>
        <v/>
      </c>
      <c r="Y680" s="4"/>
      <c r="Z680" s="6"/>
      <c r="AA680" s="6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 t="str">
        <f>IFERROR(__xludf.DUMMYFUNCTION("""COMPUTED_VALUE"""),"")</f>
        <v/>
      </c>
      <c r="Y681" s="7"/>
      <c r="Z681" s="9"/>
      <c r="AA681" s="9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 t="str">
        <f>IFERROR(__xludf.DUMMYFUNCTION("""COMPUTED_VALUE"""),"")</f>
        <v/>
      </c>
      <c r="Y682" s="4"/>
      <c r="Z682" s="6"/>
      <c r="AA682" s="6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 t="str">
        <f>IFERROR(__xludf.DUMMYFUNCTION("""COMPUTED_VALUE"""),"")</f>
        <v/>
      </c>
      <c r="Y683" s="7"/>
      <c r="Z683" s="9"/>
      <c r="AA683" s="9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 t="str">
        <f>IFERROR(__xludf.DUMMYFUNCTION("""COMPUTED_VALUE"""),"")</f>
        <v/>
      </c>
      <c r="Y684" s="4"/>
      <c r="Z684" s="6"/>
      <c r="AA684" s="6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 t="str">
        <f>IFERROR(__xludf.DUMMYFUNCTION("""COMPUTED_VALUE"""),"")</f>
        <v/>
      </c>
      <c r="Y685" s="7"/>
      <c r="Z685" s="9"/>
      <c r="AA685" s="9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 t="str">
        <f>IFERROR(__xludf.DUMMYFUNCTION("""COMPUTED_VALUE"""),"")</f>
        <v/>
      </c>
      <c r="Y686" s="4"/>
      <c r="Z686" s="6"/>
      <c r="AA686" s="6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 t="str">
        <f>IFERROR(__xludf.DUMMYFUNCTION("""COMPUTED_VALUE"""),"")</f>
        <v/>
      </c>
      <c r="Y687" s="7"/>
      <c r="Z687" s="9"/>
      <c r="AA687" s="9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 t="str">
        <f>IFERROR(__xludf.DUMMYFUNCTION("""COMPUTED_VALUE"""),"")</f>
        <v/>
      </c>
      <c r="Y688" s="4"/>
      <c r="Z688" s="6"/>
      <c r="AA688" s="6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 t="str">
        <f>IFERROR(__xludf.DUMMYFUNCTION("""COMPUTED_VALUE"""),"")</f>
        <v/>
      </c>
      <c r="Y689" s="7"/>
      <c r="Z689" s="9"/>
      <c r="AA689" s="9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 t="str">
        <f>IFERROR(__xludf.DUMMYFUNCTION("""COMPUTED_VALUE"""),"")</f>
        <v/>
      </c>
      <c r="Y690" s="4"/>
      <c r="Z690" s="6"/>
      <c r="AA690" s="6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 t="str">
        <f>IFERROR(__xludf.DUMMYFUNCTION("""COMPUTED_VALUE"""),"")</f>
        <v/>
      </c>
      <c r="Y691" s="7"/>
      <c r="Z691" s="9"/>
      <c r="AA691" s="9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 t="str">
        <f>IFERROR(__xludf.DUMMYFUNCTION("""COMPUTED_VALUE"""),"")</f>
        <v/>
      </c>
      <c r="Y692" s="4"/>
      <c r="Z692" s="6"/>
      <c r="AA692" s="6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 t="str">
        <f>IFERROR(__xludf.DUMMYFUNCTION("""COMPUTED_VALUE"""),"")</f>
        <v/>
      </c>
      <c r="Y693" s="7"/>
      <c r="Z693" s="9"/>
      <c r="AA693" s="9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 t="str">
        <f>IFERROR(__xludf.DUMMYFUNCTION("""COMPUTED_VALUE"""),"")</f>
        <v/>
      </c>
      <c r="Y694" s="4"/>
      <c r="Z694" s="6"/>
      <c r="AA694" s="6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 t="str">
        <f>IFERROR(__xludf.DUMMYFUNCTION("""COMPUTED_VALUE"""),"")</f>
        <v/>
      </c>
      <c r="Y695" s="7"/>
      <c r="Z695" s="9"/>
      <c r="AA695" s="9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 t="str">
        <f>IFERROR(__xludf.DUMMYFUNCTION("""COMPUTED_VALUE"""),"")</f>
        <v/>
      </c>
      <c r="Y696" s="4"/>
      <c r="Z696" s="6"/>
      <c r="AA696" s="6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 t="str">
        <f>IFERROR(__xludf.DUMMYFUNCTION("""COMPUTED_VALUE"""),"")</f>
        <v/>
      </c>
      <c r="Y697" s="7"/>
      <c r="Z697" s="9"/>
      <c r="AA697" s="9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 t="str">
        <f>IFERROR(__xludf.DUMMYFUNCTION("""COMPUTED_VALUE"""),"")</f>
        <v/>
      </c>
      <c r="Y698" s="4"/>
      <c r="Z698" s="6"/>
      <c r="AA698" s="6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 t="str">
        <f>IFERROR(__xludf.DUMMYFUNCTION("""COMPUTED_VALUE"""),"")</f>
        <v/>
      </c>
      <c r="Y699" s="7"/>
      <c r="Z699" s="9"/>
      <c r="AA699" s="9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 t="str">
        <f>IFERROR(__xludf.DUMMYFUNCTION("""COMPUTED_VALUE"""),"")</f>
        <v/>
      </c>
      <c r="Y700" s="4"/>
      <c r="Z700" s="6"/>
      <c r="AA700" s="6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 t="str">
        <f>IFERROR(__xludf.DUMMYFUNCTION("""COMPUTED_VALUE"""),"")</f>
        <v/>
      </c>
      <c r="Y701" s="7"/>
      <c r="Z701" s="9"/>
      <c r="AA701" s="9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 t="str">
        <f>IFERROR(__xludf.DUMMYFUNCTION("""COMPUTED_VALUE"""),"")</f>
        <v/>
      </c>
      <c r="Y702" s="4"/>
      <c r="Z702" s="6"/>
      <c r="AA702" s="6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 t="str">
        <f>IFERROR(__xludf.DUMMYFUNCTION("""COMPUTED_VALUE"""),"")</f>
        <v/>
      </c>
      <c r="Y703" s="7"/>
      <c r="Z703" s="9"/>
      <c r="AA703" s="9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 t="str">
        <f>IFERROR(__xludf.DUMMYFUNCTION("""COMPUTED_VALUE"""),"")</f>
        <v/>
      </c>
      <c r="Y704" s="4"/>
      <c r="Z704" s="6"/>
      <c r="AA704" s="6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 t="str">
        <f>IFERROR(__xludf.DUMMYFUNCTION("""COMPUTED_VALUE"""),"")</f>
        <v/>
      </c>
      <c r="Y705" s="7"/>
      <c r="Z705" s="9"/>
      <c r="AA705" s="9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 t="str">
        <f>IFERROR(__xludf.DUMMYFUNCTION("""COMPUTED_VALUE"""),"")</f>
        <v/>
      </c>
      <c r="Y706" s="4"/>
      <c r="Z706" s="6"/>
      <c r="AA706" s="6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 t="str">
        <f>IFERROR(__xludf.DUMMYFUNCTION("""COMPUTED_VALUE"""),"")</f>
        <v/>
      </c>
      <c r="Y707" s="7"/>
      <c r="Z707" s="9"/>
      <c r="AA707" s="9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 t="str">
        <f>IFERROR(__xludf.DUMMYFUNCTION("""COMPUTED_VALUE"""),"")</f>
        <v/>
      </c>
      <c r="Y708" s="4"/>
      <c r="Z708" s="6"/>
      <c r="AA708" s="6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 t="str">
        <f>IFERROR(__xludf.DUMMYFUNCTION("""COMPUTED_VALUE"""),"")</f>
        <v/>
      </c>
      <c r="Y709" s="7"/>
      <c r="Z709" s="9"/>
      <c r="AA709" s="9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 t="str">
        <f>IFERROR(__xludf.DUMMYFUNCTION("""COMPUTED_VALUE"""),"")</f>
        <v/>
      </c>
      <c r="Y710" s="4"/>
      <c r="Z710" s="6"/>
      <c r="AA710" s="6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 t="str">
        <f>IFERROR(__xludf.DUMMYFUNCTION("""COMPUTED_VALUE"""),"")</f>
        <v/>
      </c>
      <c r="Y711" s="7"/>
      <c r="Z711" s="9"/>
      <c r="AA711" s="9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 t="str">
        <f>IFERROR(__xludf.DUMMYFUNCTION("""COMPUTED_VALUE"""),"")</f>
        <v/>
      </c>
      <c r="Y712" s="4"/>
      <c r="Z712" s="6"/>
      <c r="AA712" s="6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 t="str">
        <f>IFERROR(__xludf.DUMMYFUNCTION("""COMPUTED_VALUE"""),"")</f>
        <v/>
      </c>
      <c r="Y713" s="7"/>
      <c r="Z713" s="9"/>
      <c r="AA713" s="9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 t="str">
        <f>IFERROR(__xludf.DUMMYFUNCTION("""COMPUTED_VALUE"""),"")</f>
        <v/>
      </c>
      <c r="Y714" s="4"/>
      <c r="Z714" s="6"/>
      <c r="AA714" s="6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 t="str">
        <f>IFERROR(__xludf.DUMMYFUNCTION("""COMPUTED_VALUE"""),"")</f>
        <v/>
      </c>
      <c r="Y715" s="7"/>
      <c r="Z715" s="9"/>
      <c r="AA715" s="9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 t="str">
        <f>IFERROR(__xludf.DUMMYFUNCTION("""COMPUTED_VALUE"""),"")</f>
        <v/>
      </c>
      <c r="Y716" s="4"/>
      <c r="Z716" s="6"/>
      <c r="AA716" s="6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 t="str">
        <f>IFERROR(__xludf.DUMMYFUNCTION("""COMPUTED_VALUE"""),"")</f>
        <v/>
      </c>
      <c r="Y717" s="7"/>
      <c r="Z717" s="9"/>
      <c r="AA717" s="9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 t="str">
        <f>IFERROR(__xludf.DUMMYFUNCTION("""COMPUTED_VALUE"""),"")</f>
        <v/>
      </c>
      <c r="Y718" s="4"/>
      <c r="Z718" s="6"/>
      <c r="AA718" s="6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 t="str">
        <f>IFERROR(__xludf.DUMMYFUNCTION("""COMPUTED_VALUE"""),"")</f>
        <v/>
      </c>
      <c r="Y719" s="7"/>
      <c r="Z719" s="9"/>
      <c r="AA719" s="9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 t="str">
        <f>IFERROR(__xludf.DUMMYFUNCTION("""COMPUTED_VALUE"""),"")</f>
        <v/>
      </c>
      <c r="Y720" s="4"/>
      <c r="Z720" s="6"/>
      <c r="AA720" s="6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 t="str">
        <f>IFERROR(__xludf.DUMMYFUNCTION("""COMPUTED_VALUE"""),"")</f>
        <v/>
      </c>
      <c r="Y721" s="7"/>
      <c r="Z721" s="9"/>
      <c r="AA721" s="9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 t="str">
        <f>IFERROR(__xludf.DUMMYFUNCTION("""COMPUTED_VALUE"""),"")</f>
        <v/>
      </c>
      <c r="Y722" s="4"/>
      <c r="Z722" s="6"/>
      <c r="AA722" s="6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 t="str">
        <f>IFERROR(__xludf.DUMMYFUNCTION("""COMPUTED_VALUE"""),"")</f>
        <v/>
      </c>
      <c r="Y723" s="7"/>
      <c r="Z723" s="9"/>
      <c r="AA723" s="9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 t="str">
        <f>IFERROR(__xludf.DUMMYFUNCTION("""COMPUTED_VALUE"""),"")</f>
        <v/>
      </c>
      <c r="Y724" s="4"/>
      <c r="Z724" s="6"/>
      <c r="AA724" s="6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 t="str">
        <f>IFERROR(__xludf.DUMMYFUNCTION("""COMPUTED_VALUE"""),"")</f>
        <v/>
      </c>
      <c r="Y725" s="7"/>
      <c r="Z725" s="9"/>
      <c r="AA725" s="9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 t="str">
        <f>IFERROR(__xludf.DUMMYFUNCTION("""COMPUTED_VALUE"""),"")</f>
        <v/>
      </c>
      <c r="Y726" s="4"/>
      <c r="Z726" s="6"/>
      <c r="AA726" s="6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 t="str">
        <f>IFERROR(__xludf.DUMMYFUNCTION("""COMPUTED_VALUE"""),"")</f>
        <v/>
      </c>
      <c r="Y727" s="7"/>
      <c r="Z727" s="9"/>
      <c r="AA727" s="9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 t="str">
        <f>IFERROR(__xludf.DUMMYFUNCTION("""COMPUTED_VALUE"""),"")</f>
        <v/>
      </c>
      <c r="Y728" s="4"/>
      <c r="Z728" s="6"/>
      <c r="AA728" s="6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 t="str">
        <f>IFERROR(__xludf.DUMMYFUNCTION("""COMPUTED_VALUE"""),"")</f>
        <v/>
      </c>
      <c r="Y729" s="7"/>
      <c r="Z729" s="9"/>
      <c r="AA729" s="9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 t="str">
        <f>IFERROR(__xludf.DUMMYFUNCTION("""COMPUTED_VALUE"""),"")</f>
        <v/>
      </c>
      <c r="Y730" s="4"/>
      <c r="Z730" s="6"/>
      <c r="AA730" s="6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 t="str">
        <f>IFERROR(__xludf.DUMMYFUNCTION("""COMPUTED_VALUE"""),"")</f>
        <v/>
      </c>
      <c r="Y731" s="7"/>
      <c r="Z731" s="9"/>
      <c r="AA731" s="9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 t="str">
        <f>IFERROR(__xludf.DUMMYFUNCTION("""COMPUTED_VALUE"""),"")</f>
        <v/>
      </c>
      <c r="Y732" s="4"/>
      <c r="Z732" s="6"/>
      <c r="AA732" s="6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 t="str">
        <f>IFERROR(__xludf.DUMMYFUNCTION("""COMPUTED_VALUE"""),"")</f>
        <v/>
      </c>
      <c r="Y733" s="7"/>
      <c r="Z733" s="9"/>
      <c r="AA733" s="9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 t="str">
        <f>IFERROR(__xludf.DUMMYFUNCTION("""COMPUTED_VALUE"""),"")</f>
        <v/>
      </c>
      <c r="Y734" s="4"/>
      <c r="Z734" s="6"/>
      <c r="AA734" s="6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 t="str">
        <f>IFERROR(__xludf.DUMMYFUNCTION("""COMPUTED_VALUE"""),"")</f>
        <v/>
      </c>
      <c r="Y735" s="7"/>
      <c r="Z735" s="9"/>
      <c r="AA735" s="9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 t="str">
        <f>IFERROR(__xludf.DUMMYFUNCTION("""COMPUTED_VALUE"""),"")</f>
        <v/>
      </c>
      <c r="Y736" s="4"/>
      <c r="Z736" s="6"/>
      <c r="AA736" s="6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 t="str">
        <f>IFERROR(__xludf.DUMMYFUNCTION("""COMPUTED_VALUE"""),"")</f>
        <v/>
      </c>
      <c r="Y737" s="7"/>
      <c r="Z737" s="9"/>
      <c r="AA737" s="9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 t="str">
        <f>IFERROR(__xludf.DUMMYFUNCTION("""COMPUTED_VALUE"""),"")</f>
        <v/>
      </c>
      <c r="Y738" s="4"/>
      <c r="Z738" s="6"/>
      <c r="AA738" s="6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 t="str">
        <f>IFERROR(__xludf.DUMMYFUNCTION("""COMPUTED_VALUE"""),"")</f>
        <v/>
      </c>
      <c r="Y739" s="7"/>
      <c r="Z739" s="9"/>
      <c r="AA739" s="9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 t="str">
        <f>IFERROR(__xludf.DUMMYFUNCTION("""COMPUTED_VALUE"""),"")</f>
        <v/>
      </c>
      <c r="Y740" s="4"/>
      <c r="Z740" s="6"/>
      <c r="AA740" s="6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 t="str">
        <f>IFERROR(__xludf.DUMMYFUNCTION("""COMPUTED_VALUE"""),"")</f>
        <v/>
      </c>
      <c r="Y741" s="7"/>
      <c r="Z741" s="9"/>
      <c r="AA741" s="9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 t="str">
        <f>IFERROR(__xludf.DUMMYFUNCTION("""COMPUTED_VALUE"""),"")</f>
        <v/>
      </c>
      <c r="Y742" s="4"/>
      <c r="Z742" s="6"/>
      <c r="AA742" s="6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 t="str">
        <f>IFERROR(__xludf.DUMMYFUNCTION("""COMPUTED_VALUE"""),"")</f>
        <v/>
      </c>
      <c r="Y743" s="7"/>
      <c r="Z743" s="9"/>
      <c r="AA743" s="9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 t="str">
        <f>IFERROR(__xludf.DUMMYFUNCTION("""COMPUTED_VALUE"""),"")</f>
        <v/>
      </c>
      <c r="Y744" s="4"/>
      <c r="Z744" s="6"/>
      <c r="AA744" s="6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 t="str">
        <f>IFERROR(__xludf.DUMMYFUNCTION("""COMPUTED_VALUE"""),"")</f>
        <v/>
      </c>
      <c r="Y745" s="7"/>
      <c r="Z745" s="9"/>
      <c r="AA745" s="9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 t="str">
        <f>IFERROR(__xludf.DUMMYFUNCTION("""COMPUTED_VALUE"""),"")</f>
        <v/>
      </c>
      <c r="Y746" s="4"/>
      <c r="Z746" s="6"/>
      <c r="AA746" s="6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 t="str">
        <f>IFERROR(__xludf.DUMMYFUNCTION("""COMPUTED_VALUE"""),"")</f>
        <v/>
      </c>
      <c r="Y747" s="7"/>
      <c r="Z747" s="9"/>
      <c r="AA747" s="9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 t="str">
        <f>IFERROR(__xludf.DUMMYFUNCTION("""COMPUTED_VALUE"""),"")</f>
        <v/>
      </c>
      <c r="Y748" s="4"/>
      <c r="Z748" s="6"/>
      <c r="AA748" s="6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 t="str">
        <f>IFERROR(__xludf.DUMMYFUNCTION("""COMPUTED_VALUE"""),"")</f>
        <v/>
      </c>
      <c r="Y749" s="7"/>
      <c r="Z749" s="9"/>
      <c r="AA749" s="9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 t="str">
        <f>IFERROR(__xludf.DUMMYFUNCTION("""COMPUTED_VALUE"""),"")</f>
        <v/>
      </c>
      <c r="Y750" s="4"/>
      <c r="Z750" s="6"/>
      <c r="AA750" s="6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 t="str">
        <f>IFERROR(__xludf.DUMMYFUNCTION("""COMPUTED_VALUE"""),"")</f>
        <v/>
      </c>
      <c r="Y751" s="7"/>
      <c r="Z751" s="9"/>
      <c r="AA751" s="9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 t="str">
        <f>IFERROR(__xludf.DUMMYFUNCTION("""COMPUTED_VALUE"""),"")</f>
        <v/>
      </c>
      <c r="Y752" s="4"/>
      <c r="Z752" s="6"/>
      <c r="AA752" s="6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 t="str">
        <f>IFERROR(__xludf.DUMMYFUNCTION("""COMPUTED_VALUE"""),"")</f>
        <v/>
      </c>
      <c r="Y753" s="7"/>
      <c r="Z753" s="9"/>
      <c r="AA753" s="9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 t="str">
        <f>IFERROR(__xludf.DUMMYFUNCTION("""COMPUTED_VALUE"""),"")</f>
        <v/>
      </c>
      <c r="Y754" s="4"/>
      <c r="Z754" s="6"/>
      <c r="AA754" s="6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 t="str">
        <f>IFERROR(__xludf.DUMMYFUNCTION("""COMPUTED_VALUE"""),"")</f>
        <v/>
      </c>
      <c r="Y755" s="7"/>
      <c r="Z755" s="9"/>
      <c r="AA755" s="9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 t="str">
        <f>IFERROR(__xludf.DUMMYFUNCTION("""COMPUTED_VALUE"""),"")</f>
        <v/>
      </c>
      <c r="Y756" s="4"/>
      <c r="Z756" s="6"/>
      <c r="AA756" s="6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 t="str">
        <f>IFERROR(__xludf.DUMMYFUNCTION("""COMPUTED_VALUE"""),"")</f>
        <v/>
      </c>
      <c r="Y757" s="7"/>
      <c r="Z757" s="9"/>
      <c r="AA757" s="9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 t="str">
        <f>IFERROR(__xludf.DUMMYFUNCTION("""COMPUTED_VALUE"""),"")</f>
        <v/>
      </c>
      <c r="Y758" s="4"/>
      <c r="Z758" s="6"/>
      <c r="AA758" s="6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 t="str">
        <f>IFERROR(__xludf.DUMMYFUNCTION("""COMPUTED_VALUE"""),"")</f>
        <v/>
      </c>
      <c r="Y759" s="7"/>
      <c r="Z759" s="9"/>
      <c r="AA759" s="9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 t="str">
        <f>IFERROR(__xludf.DUMMYFUNCTION("""COMPUTED_VALUE"""),"")</f>
        <v/>
      </c>
      <c r="Y760" s="4"/>
      <c r="Z760" s="6"/>
      <c r="AA760" s="6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 t="str">
        <f>IFERROR(__xludf.DUMMYFUNCTION("""COMPUTED_VALUE"""),"")</f>
        <v/>
      </c>
      <c r="Y761" s="7"/>
      <c r="Z761" s="9"/>
      <c r="AA761" s="9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 t="str">
        <f>IFERROR(__xludf.DUMMYFUNCTION("""COMPUTED_VALUE"""),"")</f>
        <v/>
      </c>
      <c r="Y762" s="4"/>
      <c r="Z762" s="6"/>
      <c r="AA762" s="6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 t="str">
        <f>IFERROR(__xludf.DUMMYFUNCTION("""COMPUTED_VALUE"""),"")</f>
        <v/>
      </c>
      <c r="Y763" s="7"/>
      <c r="Z763" s="9"/>
      <c r="AA763" s="9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 t="str">
        <f>IFERROR(__xludf.DUMMYFUNCTION("""COMPUTED_VALUE"""),"")</f>
        <v/>
      </c>
      <c r="Y764" s="4"/>
      <c r="Z764" s="6"/>
      <c r="AA764" s="6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 t="str">
        <f>IFERROR(__xludf.DUMMYFUNCTION("""COMPUTED_VALUE"""),"")</f>
        <v/>
      </c>
      <c r="Y765" s="7"/>
      <c r="Z765" s="9"/>
      <c r="AA765" s="9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 t="str">
        <f>IFERROR(__xludf.DUMMYFUNCTION("""COMPUTED_VALUE"""),"")</f>
        <v/>
      </c>
      <c r="Y766" s="4"/>
      <c r="Z766" s="6"/>
      <c r="AA766" s="6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 t="str">
        <f>IFERROR(__xludf.DUMMYFUNCTION("""COMPUTED_VALUE"""),"")</f>
        <v/>
      </c>
      <c r="Y767" s="7"/>
      <c r="Z767" s="9"/>
      <c r="AA767" s="9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 t="str">
        <f>IFERROR(__xludf.DUMMYFUNCTION("""COMPUTED_VALUE"""),"")</f>
        <v/>
      </c>
      <c r="Y768" s="4"/>
      <c r="Z768" s="6"/>
      <c r="AA768" s="6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 t="str">
        <f>IFERROR(__xludf.DUMMYFUNCTION("""COMPUTED_VALUE"""),"")</f>
        <v/>
      </c>
      <c r="Y769" s="7"/>
      <c r="Z769" s="9"/>
      <c r="AA769" s="9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 t="str">
        <f>IFERROR(__xludf.DUMMYFUNCTION("""COMPUTED_VALUE"""),"")</f>
        <v/>
      </c>
      <c r="Y770" s="4"/>
      <c r="Z770" s="6"/>
      <c r="AA770" s="6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 t="str">
        <f>IFERROR(__xludf.DUMMYFUNCTION("""COMPUTED_VALUE"""),"")</f>
        <v/>
      </c>
      <c r="Y771" s="7"/>
      <c r="Z771" s="9"/>
      <c r="AA771" s="9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 t="str">
        <f>IFERROR(__xludf.DUMMYFUNCTION("""COMPUTED_VALUE"""),"")</f>
        <v/>
      </c>
      <c r="Y772" s="4"/>
      <c r="Z772" s="6"/>
      <c r="AA772" s="6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 t="str">
        <f>IFERROR(__xludf.DUMMYFUNCTION("""COMPUTED_VALUE"""),"")</f>
        <v/>
      </c>
      <c r="Y773" s="7"/>
      <c r="Z773" s="9"/>
      <c r="AA773" s="9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 t="str">
        <f>IFERROR(__xludf.DUMMYFUNCTION("""COMPUTED_VALUE"""),"")</f>
        <v/>
      </c>
      <c r="Y774" s="4"/>
      <c r="Z774" s="6"/>
      <c r="AA774" s="6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 t="str">
        <f>IFERROR(__xludf.DUMMYFUNCTION("""COMPUTED_VALUE"""),"")</f>
        <v/>
      </c>
      <c r="Y775" s="7"/>
      <c r="Z775" s="9"/>
      <c r="AA775" s="9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 t="str">
        <f>IFERROR(__xludf.DUMMYFUNCTION("""COMPUTED_VALUE"""),"")</f>
        <v/>
      </c>
      <c r="Y776" s="4"/>
      <c r="Z776" s="6"/>
      <c r="AA776" s="6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 t="str">
        <f>IFERROR(__xludf.DUMMYFUNCTION("""COMPUTED_VALUE"""),"")</f>
        <v/>
      </c>
      <c r="Y777" s="7"/>
      <c r="Z777" s="9"/>
      <c r="AA777" s="9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 t="str">
        <f>IFERROR(__xludf.DUMMYFUNCTION("""COMPUTED_VALUE"""),"")</f>
        <v/>
      </c>
      <c r="Y778" s="4"/>
      <c r="Z778" s="6"/>
      <c r="AA778" s="6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 t="str">
        <f>IFERROR(__xludf.DUMMYFUNCTION("""COMPUTED_VALUE"""),"")</f>
        <v/>
      </c>
      <c r="Y779" s="7"/>
      <c r="Z779" s="9"/>
      <c r="AA779" s="9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 t="str">
        <f>IFERROR(__xludf.DUMMYFUNCTION("""COMPUTED_VALUE"""),"")</f>
        <v/>
      </c>
      <c r="Y780" s="4"/>
      <c r="Z780" s="6"/>
      <c r="AA780" s="6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 t="str">
        <f>IFERROR(__xludf.DUMMYFUNCTION("""COMPUTED_VALUE"""),"")</f>
        <v/>
      </c>
      <c r="Y781" s="7"/>
      <c r="Z781" s="9"/>
      <c r="AA781" s="9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 t="str">
        <f>IFERROR(__xludf.DUMMYFUNCTION("""COMPUTED_VALUE"""),"")</f>
        <v/>
      </c>
      <c r="Y782" s="4"/>
      <c r="Z782" s="6"/>
      <c r="AA782" s="6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 t="str">
        <f>IFERROR(__xludf.DUMMYFUNCTION("""COMPUTED_VALUE"""),"")</f>
        <v/>
      </c>
      <c r="Y783" s="7"/>
      <c r="Z783" s="9"/>
      <c r="AA783" s="9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 t="str">
        <f>IFERROR(__xludf.DUMMYFUNCTION("""COMPUTED_VALUE"""),"")</f>
        <v/>
      </c>
      <c r="Y784" s="4"/>
      <c r="Z784" s="6"/>
      <c r="AA784" s="6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 t="str">
        <f>IFERROR(__xludf.DUMMYFUNCTION("""COMPUTED_VALUE"""),"")</f>
        <v/>
      </c>
      <c r="Y785" s="7"/>
      <c r="Z785" s="9"/>
      <c r="AA785" s="9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 t="str">
        <f>IFERROR(__xludf.DUMMYFUNCTION("""COMPUTED_VALUE"""),"")</f>
        <v/>
      </c>
      <c r="Y786" s="4"/>
      <c r="Z786" s="6"/>
      <c r="AA786" s="6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 t="str">
        <f>IFERROR(__xludf.DUMMYFUNCTION("""COMPUTED_VALUE"""),"")</f>
        <v/>
      </c>
      <c r="Y787" s="7"/>
      <c r="Z787" s="9"/>
      <c r="AA787" s="9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 t="str">
        <f>IFERROR(__xludf.DUMMYFUNCTION("""COMPUTED_VALUE"""),"")</f>
        <v/>
      </c>
      <c r="Y788" s="4"/>
      <c r="Z788" s="6"/>
      <c r="AA788" s="6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 t="str">
        <f>IFERROR(__xludf.DUMMYFUNCTION("""COMPUTED_VALUE"""),"")</f>
        <v/>
      </c>
      <c r="Y789" s="7"/>
      <c r="Z789" s="9"/>
      <c r="AA789" s="9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 t="str">
        <f>IFERROR(__xludf.DUMMYFUNCTION("""COMPUTED_VALUE"""),"")</f>
        <v/>
      </c>
      <c r="Y790" s="4"/>
      <c r="Z790" s="6"/>
      <c r="AA790" s="6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 t="str">
        <f>IFERROR(__xludf.DUMMYFUNCTION("""COMPUTED_VALUE"""),"")</f>
        <v/>
      </c>
      <c r="Y791" s="7"/>
      <c r="Z791" s="9"/>
      <c r="AA791" s="9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 t="str">
        <f>IFERROR(__xludf.DUMMYFUNCTION("""COMPUTED_VALUE"""),"")</f>
        <v/>
      </c>
      <c r="Y792" s="4"/>
      <c r="Z792" s="6"/>
      <c r="AA792" s="6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 t="str">
        <f>IFERROR(__xludf.DUMMYFUNCTION("""COMPUTED_VALUE"""),"")</f>
        <v/>
      </c>
      <c r="Y793" s="7"/>
      <c r="Z793" s="9"/>
      <c r="AA793" s="9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 t="str">
        <f>IFERROR(__xludf.DUMMYFUNCTION("""COMPUTED_VALUE"""),"")</f>
        <v/>
      </c>
      <c r="Y794" s="4"/>
      <c r="Z794" s="6"/>
      <c r="AA794" s="6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 t="str">
        <f>IFERROR(__xludf.DUMMYFUNCTION("""COMPUTED_VALUE"""),"")</f>
        <v/>
      </c>
      <c r="Y795" s="7"/>
      <c r="Z795" s="9"/>
      <c r="AA795" s="9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 t="str">
        <f>IFERROR(__xludf.DUMMYFUNCTION("""COMPUTED_VALUE"""),"")</f>
        <v/>
      </c>
      <c r="Y796" s="4"/>
      <c r="Z796" s="6"/>
      <c r="AA796" s="6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 t="str">
        <f>IFERROR(__xludf.DUMMYFUNCTION("""COMPUTED_VALUE"""),"")</f>
        <v/>
      </c>
      <c r="Y797" s="7"/>
      <c r="Z797" s="9"/>
      <c r="AA797" s="9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 t="str">
        <f>IFERROR(__xludf.DUMMYFUNCTION("""COMPUTED_VALUE"""),"")</f>
        <v/>
      </c>
      <c r="Y798" s="4"/>
      <c r="Z798" s="6"/>
      <c r="AA798" s="6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 t="str">
        <f>IFERROR(__xludf.DUMMYFUNCTION("""COMPUTED_VALUE"""),"")</f>
        <v/>
      </c>
      <c r="Y799" s="7"/>
      <c r="Z799" s="9"/>
      <c r="AA799" s="9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 t="str">
        <f>IFERROR(__xludf.DUMMYFUNCTION("""COMPUTED_VALUE"""),"")</f>
        <v/>
      </c>
      <c r="Y800" s="4"/>
      <c r="Z800" s="6"/>
      <c r="AA800" s="6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 t="str">
        <f>IFERROR(__xludf.DUMMYFUNCTION("""COMPUTED_VALUE"""),"")</f>
        <v/>
      </c>
      <c r="Y801" s="7"/>
      <c r="Z801" s="9"/>
      <c r="AA801" s="9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 t="str">
        <f>IFERROR(__xludf.DUMMYFUNCTION("""COMPUTED_VALUE"""),"")</f>
        <v/>
      </c>
      <c r="Y802" s="4"/>
      <c r="Z802" s="6"/>
      <c r="AA802" s="6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 t="str">
        <f>IFERROR(__xludf.DUMMYFUNCTION("""COMPUTED_VALUE"""),"")</f>
        <v/>
      </c>
      <c r="Y803" s="7"/>
      <c r="Z803" s="9"/>
      <c r="AA803" s="9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 t="str">
        <f>IFERROR(__xludf.DUMMYFUNCTION("""COMPUTED_VALUE"""),"")</f>
        <v/>
      </c>
      <c r="Y804" s="4"/>
      <c r="Z804" s="6"/>
      <c r="AA804" s="6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 t="str">
        <f>IFERROR(__xludf.DUMMYFUNCTION("""COMPUTED_VALUE"""),"")</f>
        <v/>
      </c>
      <c r="Y805" s="7"/>
      <c r="Z805" s="9"/>
      <c r="AA805" s="9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 t="str">
        <f>IFERROR(__xludf.DUMMYFUNCTION("""COMPUTED_VALUE"""),"")</f>
        <v/>
      </c>
      <c r="Y806" s="4"/>
      <c r="Z806" s="6"/>
      <c r="AA806" s="6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 t="str">
        <f>IFERROR(__xludf.DUMMYFUNCTION("""COMPUTED_VALUE"""),"")</f>
        <v/>
      </c>
      <c r="Y807" s="7"/>
      <c r="Z807" s="9"/>
      <c r="AA807" s="9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 t="str">
        <f>IFERROR(__xludf.DUMMYFUNCTION("""COMPUTED_VALUE"""),"")</f>
        <v/>
      </c>
      <c r="Y808" s="4"/>
      <c r="Z808" s="6"/>
      <c r="AA808" s="6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 t="str">
        <f>IFERROR(__xludf.DUMMYFUNCTION("""COMPUTED_VALUE"""),"")</f>
        <v/>
      </c>
      <c r="Y809" s="7"/>
      <c r="Z809" s="9"/>
      <c r="AA809" s="9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 t="str">
        <f>IFERROR(__xludf.DUMMYFUNCTION("""COMPUTED_VALUE"""),"")</f>
        <v/>
      </c>
      <c r="Y810" s="4"/>
      <c r="Z810" s="6"/>
      <c r="AA810" s="6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 t="str">
        <f>IFERROR(__xludf.DUMMYFUNCTION("""COMPUTED_VALUE"""),"")</f>
        <v/>
      </c>
      <c r="Y811" s="7"/>
      <c r="Z811" s="9"/>
      <c r="AA811" s="9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 t="str">
        <f>IFERROR(__xludf.DUMMYFUNCTION("""COMPUTED_VALUE"""),"")</f>
        <v/>
      </c>
      <c r="Y812" s="4"/>
      <c r="Z812" s="6"/>
      <c r="AA812" s="6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 t="str">
        <f>IFERROR(__xludf.DUMMYFUNCTION("""COMPUTED_VALUE"""),"")</f>
        <v/>
      </c>
      <c r="Y813" s="7"/>
      <c r="Z813" s="9"/>
      <c r="AA813" s="9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 t="str">
        <f>IFERROR(__xludf.DUMMYFUNCTION("""COMPUTED_VALUE"""),"")</f>
        <v/>
      </c>
      <c r="Y814" s="4"/>
      <c r="Z814" s="6"/>
      <c r="AA814" s="6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 t="str">
        <f>IFERROR(__xludf.DUMMYFUNCTION("""COMPUTED_VALUE"""),"")</f>
        <v/>
      </c>
      <c r="Y815" s="7"/>
      <c r="Z815" s="9"/>
      <c r="AA815" s="9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 t="str">
        <f>IFERROR(__xludf.DUMMYFUNCTION("""COMPUTED_VALUE"""),"")</f>
        <v/>
      </c>
      <c r="Y816" s="4"/>
      <c r="Z816" s="6"/>
      <c r="AA816" s="6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 t="str">
        <f>IFERROR(__xludf.DUMMYFUNCTION("""COMPUTED_VALUE"""),"")</f>
        <v/>
      </c>
      <c r="Y817" s="7"/>
      <c r="Z817" s="9"/>
      <c r="AA817" s="9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 t="str">
        <f>IFERROR(__xludf.DUMMYFUNCTION("""COMPUTED_VALUE"""),"")</f>
        <v/>
      </c>
      <c r="Y818" s="4"/>
      <c r="Z818" s="6"/>
      <c r="AA818" s="6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 t="str">
        <f>IFERROR(__xludf.DUMMYFUNCTION("""COMPUTED_VALUE"""),"")</f>
        <v/>
      </c>
      <c r="Y819" s="7"/>
      <c r="Z819" s="9"/>
      <c r="AA819" s="9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 t="str">
        <f>IFERROR(__xludf.DUMMYFUNCTION("""COMPUTED_VALUE"""),"")</f>
        <v/>
      </c>
      <c r="Y820" s="4"/>
      <c r="Z820" s="6"/>
      <c r="AA820" s="6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 t="str">
        <f>IFERROR(__xludf.DUMMYFUNCTION("""COMPUTED_VALUE"""),"")</f>
        <v/>
      </c>
      <c r="Y821" s="7"/>
      <c r="Z821" s="9"/>
      <c r="AA821" s="9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 t="str">
        <f>IFERROR(__xludf.DUMMYFUNCTION("""COMPUTED_VALUE"""),"")</f>
        <v/>
      </c>
      <c r="Y822" s="4"/>
      <c r="Z822" s="6"/>
      <c r="AA822" s="6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 t="str">
        <f>IFERROR(__xludf.DUMMYFUNCTION("""COMPUTED_VALUE"""),"")</f>
        <v/>
      </c>
      <c r="Y823" s="7"/>
      <c r="Z823" s="9"/>
      <c r="AA823" s="9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 t="str">
        <f>IFERROR(__xludf.DUMMYFUNCTION("""COMPUTED_VALUE"""),"")</f>
        <v/>
      </c>
      <c r="Y824" s="4"/>
      <c r="Z824" s="6"/>
      <c r="AA824" s="6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 t="str">
        <f>IFERROR(__xludf.DUMMYFUNCTION("""COMPUTED_VALUE"""),"")</f>
        <v/>
      </c>
      <c r="Y825" s="7"/>
      <c r="Z825" s="9"/>
      <c r="AA825" s="9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 t="str">
        <f>IFERROR(__xludf.DUMMYFUNCTION("""COMPUTED_VALUE"""),"")</f>
        <v/>
      </c>
      <c r="Y826" s="4"/>
      <c r="Z826" s="6"/>
      <c r="AA826" s="6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 t="str">
        <f>IFERROR(__xludf.DUMMYFUNCTION("""COMPUTED_VALUE"""),"")</f>
        <v/>
      </c>
      <c r="Y827" s="7"/>
      <c r="Z827" s="9"/>
      <c r="AA827" s="9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 t="str">
        <f>IFERROR(__xludf.DUMMYFUNCTION("""COMPUTED_VALUE"""),"")</f>
        <v/>
      </c>
      <c r="Y828" s="4"/>
      <c r="Z828" s="6"/>
      <c r="AA828" s="6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 t="str">
        <f>IFERROR(__xludf.DUMMYFUNCTION("""COMPUTED_VALUE"""),"")</f>
        <v/>
      </c>
      <c r="Y829" s="7"/>
      <c r="Z829" s="9"/>
      <c r="AA829" s="9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 t="str">
        <f>IFERROR(__xludf.DUMMYFUNCTION("""COMPUTED_VALUE"""),"")</f>
        <v/>
      </c>
      <c r="Y830" s="4"/>
      <c r="Z830" s="6"/>
      <c r="AA830" s="6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 t="str">
        <f>IFERROR(__xludf.DUMMYFUNCTION("""COMPUTED_VALUE"""),"")</f>
        <v/>
      </c>
      <c r="Y831" s="7"/>
      <c r="Z831" s="9"/>
      <c r="AA831" s="9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 t="str">
        <f>IFERROR(__xludf.DUMMYFUNCTION("""COMPUTED_VALUE"""),"")</f>
        <v/>
      </c>
      <c r="Y832" s="4"/>
      <c r="Z832" s="6"/>
      <c r="AA832" s="6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 t="str">
        <f>IFERROR(__xludf.DUMMYFUNCTION("""COMPUTED_VALUE"""),"")</f>
        <v/>
      </c>
      <c r="Y833" s="7"/>
      <c r="Z833" s="9"/>
      <c r="AA833" s="9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 t="str">
        <f>IFERROR(__xludf.DUMMYFUNCTION("""COMPUTED_VALUE"""),"")</f>
        <v/>
      </c>
      <c r="Y834" s="4"/>
      <c r="Z834" s="6"/>
      <c r="AA834" s="6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 t="str">
        <f>IFERROR(__xludf.DUMMYFUNCTION("""COMPUTED_VALUE"""),"")</f>
        <v/>
      </c>
      <c r="Y835" s="7"/>
      <c r="Z835" s="9"/>
      <c r="AA835" s="9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 t="str">
        <f>IFERROR(__xludf.DUMMYFUNCTION("""COMPUTED_VALUE"""),"")</f>
        <v/>
      </c>
      <c r="Y836" s="4"/>
      <c r="Z836" s="6"/>
      <c r="AA836" s="6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 t="str">
        <f>IFERROR(__xludf.DUMMYFUNCTION("""COMPUTED_VALUE"""),"")</f>
        <v/>
      </c>
      <c r="Y837" s="7"/>
      <c r="Z837" s="9"/>
      <c r="AA837" s="9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 t="str">
        <f>IFERROR(__xludf.DUMMYFUNCTION("""COMPUTED_VALUE"""),"")</f>
        <v/>
      </c>
      <c r="Y838" s="4"/>
      <c r="Z838" s="6"/>
      <c r="AA838" s="6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 t="str">
        <f>IFERROR(__xludf.DUMMYFUNCTION("""COMPUTED_VALUE"""),"")</f>
        <v/>
      </c>
      <c r="Y839" s="7"/>
      <c r="Z839" s="9"/>
      <c r="AA839" s="9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 t="str">
        <f>IFERROR(__xludf.DUMMYFUNCTION("""COMPUTED_VALUE"""),"")</f>
        <v/>
      </c>
      <c r="Y840" s="4"/>
      <c r="Z840" s="6"/>
      <c r="AA840" s="6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 t="str">
        <f>IFERROR(__xludf.DUMMYFUNCTION("""COMPUTED_VALUE"""),"")</f>
        <v/>
      </c>
      <c r="Y841" s="7"/>
      <c r="Z841" s="9"/>
      <c r="AA841" s="9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 t="str">
        <f>IFERROR(__xludf.DUMMYFUNCTION("""COMPUTED_VALUE"""),"")</f>
        <v/>
      </c>
      <c r="Y842" s="4"/>
      <c r="Z842" s="6"/>
      <c r="AA842" s="6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 t="str">
        <f>IFERROR(__xludf.DUMMYFUNCTION("""COMPUTED_VALUE"""),"")</f>
        <v/>
      </c>
      <c r="Y843" s="7"/>
      <c r="Z843" s="9"/>
      <c r="AA843" s="9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 t="str">
        <f>IFERROR(__xludf.DUMMYFUNCTION("""COMPUTED_VALUE"""),"")</f>
        <v/>
      </c>
      <c r="Y844" s="4"/>
      <c r="Z844" s="6"/>
      <c r="AA844" s="6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 t="str">
        <f>IFERROR(__xludf.DUMMYFUNCTION("""COMPUTED_VALUE"""),"")</f>
        <v/>
      </c>
      <c r="Y845" s="7"/>
      <c r="Z845" s="9"/>
      <c r="AA845" s="9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 t="str">
        <f>IFERROR(__xludf.DUMMYFUNCTION("""COMPUTED_VALUE"""),"")</f>
        <v/>
      </c>
      <c r="Y846" s="4"/>
      <c r="Z846" s="6"/>
      <c r="AA846" s="6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 t="str">
        <f>IFERROR(__xludf.DUMMYFUNCTION("""COMPUTED_VALUE"""),"")</f>
        <v/>
      </c>
      <c r="Y847" s="7"/>
      <c r="Z847" s="9"/>
      <c r="AA847" s="9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 t="str">
        <f>IFERROR(__xludf.DUMMYFUNCTION("""COMPUTED_VALUE"""),"")</f>
        <v/>
      </c>
      <c r="Y848" s="4"/>
      <c r="Z848" s="6"/>
      <c r="AA848" s="6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 t="str">
        <f>IFERROR(__xludf.DUMMYFUNCTION("""COMPUTED_VALUE"""),"")</f>
        <v/>
      </c>
      <c r="Y849" s="7"/>
      <c r="Z849" s="9"/>
      <c r="AA849" s="9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 t="str">
        <f>IFERROR(__xludf.DUMMYFUNCTION("""COMPUTED_VALUE"""),"")</f>
        <v/>
      </c>
      <c r="Y850" s="4"/>
      <c r="Z850" s="6"/>
      <c r="AA850" s="6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 t="str">
        <f>IFERROR(__xludf.DUMMYFUNCTION("""COMPUTED_VALUE"""),"")</f>
        <v/>
      </c>
      <c r="Y851" s="7"/>
      <c r="Z851" s="9"/>
      <c r="AA851" s="9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 t="str">
        <f>IFERROR(__xludf.DUMMYFUNCTION("""COMPUTED_VALUE"""),"")</f>
        <v/>
      </c>
      <c r="Y852" s="4"/>
      <c r="Z852" s="6"/>
      <c r="AA852" s="6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 t="str">
        <f>IFERROR(__xludf.DUMMYFUNCTION("""COMPUTED_VALUE"""),"")</f>
        <v/>
      </c>
      <c r="Y853" s="7"/>
      <c r="Z853" s="9"/>
      <c r="AA853" s="9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 t="str">
        <f>IFERROR(__xludf.DUMMYFUNCTION("""COMPUTED_VALUE"""),"")</f>
        <v/>
      </c>
      <c r="Y854" s="4"/>
      <c r="Z854" s="6"/>
      <c r="AA854" s="6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 t="str">
        <f>IFERROR(__xludf.DUMMYFUNCTION("""COMPUTED_VALUE"""),"")</f>
        <v/>
      </c>
      <c r="Y855" s="7"/>
      <c r="Z855" s="9"/>
      <c r="AA855" s="9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 t="str">
        <f>IFERROR(__xludf.DUMMYFUNCTION("""COMPUTED_VALUE"""),"")</f>
        <v/>
      </c>
      <c r="Y856" s="4"/>
      <c r="Z856" s="6"/>
      <c r="AA856" s="6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 t="str">
        <f>IFERROR(__xludf.DUMMYFUNCTION("""COMPUTED_VALUE"""),"")</f>
        <v/>
      </c>
      <c r="Y857" s="7"/>
      <c r="Z857" s="9"/>
      <c r="AA857" s="9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 t="str">
        <f>IFERROR(__xludf.DUMMYFUNCTION("""COMPUTED_VALUE"""),"")</f>
        <v/>
      </c>
      <c r="Y858" s="4"/>
      <c r="Z858" s="6"/>
      <c r="AA858" s="6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 t="str">
        <f>IFERROR(__xludf.DUMMYFUNCTION("""COMPUTED_VALUE"""),"")</f>
        <v/>
      </c>
      <c r="Y859" s="7"/>
      <c r="Z859" s="9"/>
      <c r="AA859" s="9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 t="str">
        <f>IFERROR(__xludf.DUMMYFUNCTION("""COMPUTED_VALUE"""),"")</f>
        <v/>
      </c>
      <c r="Y860" s="4"/>
      <c r="Z860" s="6"/>
      <c r="AA860" s="6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 t="str">
        <f>IFERROR(__xludf.DUMMYFUNCTION("""COMPUTED_VALUE"""),"")</f>
        <v/>
      </c>
      <c r="Y861" s="7"/>
      <c r="Z861" s="9"/>
      <c r="AA861" s="9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 t="str">
        <f>IFERROR(__xludf.DUMMYFUNCTION("""COMPUTED_VALUE"""),"")</f>
        <v/>
      </c>
      <c r="Y862" s="4"/>
      <c r="Z862" s="6"/>
      <c r="AA862" s="6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 t="str">
        <f>IFERROR(__xludf.DUMMYFUNCTION("""COMPUTED_VALUE"""),"")</f>
        <v/>
      </c>
      <c r="Y863" s="7"/>
      <c r="Z863" s="9"/>
      <c r="AA863" s="9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 t="str">
        <f>IFERROR(__xludf.DUMMYFUNCTION("""COMPUTED_VALUE"""),"")</f>
        <v/>
      </c>
      <c r="Y864" s="4"/>
      <c r="Z864" s="6"/>
      <c r="AA864" s="6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 t="str">
        <f>IFERROR(__xludf.DUMMYFUNCTION("""COMPUTED_VALUE"""),"")</f>
        <v/>
      </c>
      <c r="Y865" s="7"/>
      <c r="Z865" s="9"/>
      <c r="AA865" s="9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 t="str">
        <f>IFERROR(__xludf.DUMMYFUNCTION("""COMPUTED_VALUE"""),"")</f>
        <v/>
      </c>
      <c r="Y866" s="4"/>
      <c r="Z866" s="6"/>
      <c r="AA866" s="6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 t="str">
        <f>IFERROR(__xludf.DUMMYFUNCTION("""COMPUTED_VALUE"""),"")</f>
        <v/>
      </c>
      <c r="Y867" s="7"/>
      <c r="Z867" s="9"/>
      <c r="AA867" s="9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 t="str">
        <f>IFERROR(__xludf.DUMMYFUNCTION("""COMPUTED_VALUE"""),"")</f>
        <v/>
      </c>
      <c r="Y868" s="4"/>
      <c r="Z868" s="6"/>
      <c r="AA868" s="6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 t="str">
        <f>IFERROR(__xludf.DUMMYFUNCTION("""COMPUTED_VALUE"""),"")</f>
        <v/>
      </c>
      <c r="Y869" s="7"/>
      <c r="Z869" s="9"/>
      <c r="AA869" s="9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 t="str">
        <f>IFERROR(__xludf.DUMMYFUNCTION("""COMPUTED_VALUE"""),"")</f>
        <v/>
      </c>
      <c r="Y870" s="4"/>
      <c r="Z870" s="6"/>
      <c r="AA870" s="6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 t="str">
        <f>IFERROR(__xludf.DUMMYFUNCTION("""COMPUTED_VALUE"""),"")</f>
        <v/>
      </c>
      <c r="Y871" s="7"/>
      <c r="Z871" s="9"/>
      <c r="AA871" s="9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 t="str">
        <f>IFERROR(__xludf.DUMMYFUNCTION("""COMPUTED_VALUE"""),"")</f>
        <v/>
      </c>
      <c r="Y872" s="4"/>
      <c r="Z872" s="6"/>
      <c r="AA872" s="6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 t="str">
        <f>IFERROR(__xludf.DUMMYFUNCTION("""COMPUTED_VALUE"""),"")</f>
        <v/>
      </c>
      <c r="Y873" s="7"/>
      <c r="Z873" s="9"/>
      <c r="AA873" s="9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 t="str">
        <f>IFERROR(__xludf.DUMMYFUNCTION("""COMPUTED_VALUE"""),"")</f>
        <v/>
      </c>
      <c r="Y874" s="4"/>
      <c r="Z874" s="6"/>
      <c r="AA874" s="6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 t="str">
        <f>IFERROR(__xludf.DUMMYFUNCTION("""COMPUTED_VALUE"""),"")</f>
        <v/>
      </c>
      <c r="Y875" s="7"/>
      <c r="Z875" s="9"/>
      <c r="AA875" s="9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 t="str">
        <f>IFERROR(__xludf.DUMMYFUNCTION("""COMPUTED_VALUE"""),"")</f>
        <v/>
      </c>
      <c r="Y876" s="4"/>
      <c r="Z876" s="6"/>
      <c r="AA876" s="6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 t="str">
        <f>IFERROR(__xludf.DUMMYFUNCTION("""COMPUTED_VALUE"""),"")</f>
        <v/>
      </c>
      <c r="Y877" s="7"/>
      <c r="Z877" s="9"/>
      <c r="AA877" s="9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 t="str">
        <f>IFERROR(__xludf.DUMMYFUNCTION("""COMPUTED_VALUE"""),"")</f>
        <v/>
      </c>
      <c r="Y878" s="4"/>
      <c r="Z878" s="6"/>
      <c r="AA878" s="6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 t="str">
        <f>IFERROR(__xludf.DUMMYFUNCTION("""COMPUTED_VALUE"""),"")</f>
        <v/>
      </c>
      <c r="Y879" s="7"/>
      <c r="Z879" s="9"/>
      <c r="AA879" s="9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 t="str">
        <f>IFERROR(__xludf.DUMMYFUNCTION("""COMPUTED_VALUE"""),"")</f>
        <v/>
      </c>
      <c r="Y880" s="4"/>
      <c r="Z880" s="6"/>
      <c r="AA880" s="6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 t="str">
        <f>IFERROR(__xludf.DUMMYFUNCTION("""COMPUTED_VALUE"""),"")</f>
        <v/>
      </c>
      <c r="Y881" s="7"/>
      <c r="Z881" s="9"/>
      <c r="AA881" s="9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 t="str">
        <f>IFERROR(__xludf.DUMMYFUNCTION("""COMPUTED_VALUE"""),"")</f>
        <v/>
      </c>
      <c r="Y882" s="4"/>
      <c r="Z882" s="6"/>
      <c r="AA882" s="6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 t="str">
        <f>IFERROR(__xludf.DUMMYFUNCTION("""COMPUTED_VALUE"""),"")</f>
        <v/>
      </c>
      <c r="Y883" s="7"/>
      <c r="Z883" s="9"/>
      <c r="AA883" s="9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 t="str">
        <f>IFERROR(__xludf.DUMMYFUNCTION("""COMPUTED_VALUE"""),"")</f>
        <v/>
      </c>
      <c r="Y884" s="4"/>
      <c r="Z884" s="6"/>
      <c r="AA884" s="6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 t="str">
        <f>IFERROR(__xludf.DUMMYFUNCTION("""COMPUTED_VALUE"""),"")</f>
        <v/>
      </c>
      <c r="Y885" s="7"/>
      <c r="Z885" s="9"/>
      <c r="AA885" s="9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 t="str">
        <f>IFERROR(__xludf.DUMMYFUNCTION("""COMPUTED_VALUE"""),"")</f>
        <v/>
      </c>
      <c r="Y886" s="4"/>
      <c r="Z886" s="6"/>
      <c r="AA886" s="6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 t="str">
        <f>IFERROR(__xludf.DUMMYFUNCTION("""COMPUTED_VALUE"""),"")</f>
        <v/>
      </c>
      <c r="Y887" s="7"/>
      <c r="Z887" s="9"/>
      <c r="AA887" s="9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 t="str">
        <f>IFERROR(__xludf.DUMMYFUNCTION("""COMPUTED_VALUE"""),"")</f>
        <v/>
      </c>
      <c r="Y888" s="4"/>
      <c r="Z888" s="6"/>
      <c r="AA888" s="6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 t="str">
        <f>IFERROR(__xludf.DUMMYFUNCTION("""COMPUTED_VALUE"""),"")</f>
        <v/>
      </c>
      <c r="Y889" s="7"/>
      <c r="Z889" s="9"/>
      <c r="AA889" s="9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 t="str">
        <f>IFERROR(__xludf.DUMMYFUNCTION("""COMPUTED_VALUE"""),"")</f>
        <v/>
      </c>
      <c r="Y890" s="4"/>
      <c r="Z890" s="6"/>
      <c r="AA890" s="6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 t="str">
        <f>IFERROR(__xludf.DUMMYFUNCTION("""COMPUTED_VALUE"""),"")</f>
        <v/>
      </c>
      <c r="Y891" s="7"/>
      <c r="Z891" s="9"/>
      <c r="AA891" s="9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 t="str">
        <f>IFERROR(__xludf.DUMMYFUNCTION("""COMPUTED_VALUE"""),"")</f>
        <v/>
      </c>
      <c r="Y892" s="4"/>
      <c r="Z892" s="6"/>
      <c r="AA892" s="6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 t="str">
        <f>IFERROR(__xludf.DUMMYFUNCTION("""COMPUTED_VALUE"""),"")</f>
        <v/>
      </c>
      <c r="Y893" s="7"/>
      <c r="Z893" s="9"/>
      <c r="AA893" s="9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 t="str">
        <f>IFERROR(__xludf.DUMMYFUNCTION("""COMPUTED_VALUE"""),"")</f>
        <v/>
      </c>
      <c r="Y894" s="4"/>
      <c r="Z894" s="6"/>
      <c r="AA894" s="6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 t="str">
        <f>IFERROR(__xludf.DUMMYFUNCTION("""COMPUTED_VALUE"""),"")</f>
        <v/>
      </c>
      <c r="Y895" s="7"/>
      <c r="Z895" s="9"/>
      <c r="AA895" s="9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 t="str">
        <f>IFERROR(__xludf.DUMMYFUNCTION("""COMPUTED_VALUE"""),"")</f>
        <v/>
      </c>
      <c r="Y896" s="4"/>
      <c r="Z896" s="6"/>
      <c r="AA896" s="6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 t="str">
        <f>IFERROR(__xludf.DUMMYFUNCTION("""COMPUTED_VALUE"""),"")</f>
        <v/>
      </c>
      <c r="Y897" s="7"/>
      <c r="Z897" s="9"/>
      <c r="AA897" s="9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 t="str">
        <f>IFERROR(__xludf.DUMMYFUNCTION("""COMPUTED_VALUE"""),"")</f>
        <v/>
      </c>
      <c r="Y898" s="4"/>
      <c r="Z898" s="6"/>
      <c r="AA898" s="6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 t="str">
        <f>IFERROR(__xludf.DUMMYFUNCTION("""COMPUTED_VALUE"""),"")</f>
        <v/>
      </c>
      <c r="Y899" s="7"/>
      <c r="Z899" s="9"/>
      <c r="AA899" s="9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 t="str">
        <f>IFERROR(__xludf.DUMMYFUNCTION("""COMPUTED_VALUE"""),"")</f>
        <v/>
      </c>
      <c r="Y900" s="4"/>
      <c r="Z900" s="6"/>
      <c r="AA900" s="6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 t="str">
        <f>IFERROR(__xludf.DUMMYFUNCTION("""COMPUTED_VALUE"""),"")</f>
        <v/>
      </c>
      <c r="Y901" s="7"/>
      <c r="Z901" s="9"/>
      <c r="AA901" s="9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 t="str">
        <f>IFERROR(__xludf.DUMMYFUNCTION("""COMPUTED_VALUE"""),"")</f>
        <v/>
      </c>
      <c r="Y902" s="4"/>
      <c r="Z902" s="6"/>
      <c r="AA902" s="6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 t="str">
        <f>IFERROR(__xludf.DUMMYFUNCTION("""COMPUTED_VALUE"""),"")</f>
        <v/>
      </c>
      <c r="Y903" s="7"/>
      <c r="Z903" s="9"/>
      <c r="AA903" s="9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 t="str">
        <f>IFERROR(__xludf.DUMMYFUNCTION("""COMPUTED_VALUE"""),"")</f>
        <v/>
      </c>
      <c r="Y904" s="4"/>
      <c r="Z904" s="6"/>
      <c r="AA904" s="6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 t="str">
        <f>IFERROR(__xludf.DUMMYFUNCTION("""COMPUTED_VALUE"""),"")</f>
        <v/>
      </c>
      <c r="Y905" s="7"/>
      <c r="Z905" s="9"/>
      <c r="AA905" s="9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 t="str">
        <f>IFERROR(__xludf.DUMMYFUNCTION("""COMPUTED_VALUE"""),"")</f>
        <v/>
      </c>
      <c r="Y906" s="4"/>
      <c r="Z906" s="6"/>
      <c r="AA906" s="6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 t="str">
        <f>IFERROR(__xludf.DUMMYFUNCTION("""COMPUTED_VALUE"""),"")</f>
        <v/>
      </c>
      <c r="Y907" s="7"/>
      <c r="Z907" s="9"/>
      <c r="AA907" s="9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 t="str">
        <f>IFERROR(__xludf.DUMMYFUNCTION("""COMPUTED_VALUE"""),"")</f>
        <v/>
      </c>
      <c r="Y908" s="4"/>
      <c r="Z908" s="6"/>
      <c r="AA908" s="6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 t="str">
        <f>IFERROR(__xludf.DUMMYFUNCTION("""COMPUTED_VALUE"""),"")</f>
        <v/>
      </c>
      <c r="Y909" s="7"/>
      <c r="Z909" s="9"/>
      <c r="AA909" s="9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 t="str">
        <f>IFERROR(__xludf.DUMMYFUNCTION("""COMPUTED_VALUE"""),"")</f>
        <v/>
      </c>
      <c r="Y910" s="4"/>
      <c r="Z910" s="6"/>
      <c r="AA910" s="6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 t="str">
        <f>IFERROR(__xludf.DUMMYFUNCTION("""COMPUTED_VALUE"""),"")</f>
        <v/>
      </c>
      <c r="Y911" s="7"/>
      <c r="Z911" s="9"/>
      <c r="AA911" s="9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 t="str">
        <f>IFERROR(__xludf.DUMMYFUNCTION("""COMPUTED_VALUE"""),"")</f>
        <v/>
      </c>
      <c r="Y912" s="4"/>
      <c r="Z912" s="6"/>
      <c r="AA912" s="6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 t="str">
        <f>IFERROR(__xludf.DUMMYFUNCTION("""COMPUTED_VALUE"""),"")</f>
        <v/>
      </c>
      <c r="Y913" s="7"/>
      <c r="Z913" s="9"/>
      <c r="AA913" s="9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 t="str">
        <f>IFERROR(__xludf.DUMMYFUNCTION("""COMPUTED_VALUE"""),"")</f>
        <v/>
      </c>
      <c r="Y914" s="4"/>
      <c r="Z914" s="6"/>
      <c r="AA914" s="6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 t="str">
        <f>IFERROR(__xludf.DUMMYFUNCTION("""COMPUTED_VALUE"""),"")</f>
        <v/>
      </c>
      <c r="Y915" s="7"/>
      <c r="Z915" s="9"/>
      <c r="AA915" s="9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 t="str">
        <f>IFERROR(__xludf.DUMMYFUNCTION("""COMPUTED_VALUE"""),"")</f>
        <v/>
      </c>
      <c r="Y916" s="4"/>
      <c r="Z916" s="6"/>
      <c r="AA916" s="6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 t="str">
        <f>IFERROR(__xludf.DUMMYFUNCTION("""COMPUTED_VALUE"""),"")</f>
        <v/>
      </c>
      <c r="Y917" s="7"/>
      <c r="Z917" s="9"/>
      <c r="AA917" s="9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 t="str">
        <f>IFERROR(__xludf.DUMMYFUNCTION("""COMPUTED_VALUE"""),"")</f>
        <v/>
      </c>
      <c r="Y918" s="4"/>
      <c r="Z918" s="6"/>
      <c r="AA918" s="6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 t="str">
        <f>IFERROR(__xludf.DUMMYFUNCTION("""COMPUTED_VALUE"""),"")</f>
        <v/>
      </c>
      <c r="Y919" s="7"/>
      <c r="Z919" s="9"/>
      <c r="AA919" s="9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 t="str">
        <f>IFERROR(__xludf.DUMMYFUNCTION("""COMPUTED_VALUE"""),"")</f>
        <v/>
      </c>
      <c r="Y920" s="4"/>
      <c r="Z920" s="6"/>
      <c r="AA920" s="6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 t="str">
        <f>IFERROR(__xludf.DUMMYFUNCTION("""COMPUTED_VALUE"""),"")</f>
        <v/>
      </c>
      <c r="Y921" s="7"/>
      <c r="Z921" s="9"/>
      <c r="AA921" s="9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 t="str">
        <f>IFERROR(__xludf.DUMMYFUNCTION("""COMPUTED_VALUE"""),"")</f>
        <v/>
      </c>
      <c r="Y922" s="4"/>
      <c r="Z922" s="6"/>
      <c r="AA922" s="6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 t="str">
        <f>IFERROR(__xludf.DUMMYFUNCTION("""COMPUTED_VALUE"""),"")</f>
        <v/>
      </c>
      <c r="Y923" s="7"/>
      <c r="Z923" s="9"/>
      <c r="AA923" s="9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 t="str">
        <f>IFERROR(__xludf.DUMMYFUNCTION("""COMPUTED_VALUE"""),"")</f>
        <v/>
      </c>
      <c r="Y924" s="4"/>
      <c r="Z924" s="6"/>
      <c r="AA924" s="6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 t="str">
        <f>IFERROR(__xludf.DUMMYFUNCTION("""COMPUTED_VALUE"""),"")</f>
        <v/>
      </c>
      <c r="Y925" s="7"/>
      <c r="Z925" s="9"/>
      <c r="AA925" s="9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 t="str">
        <f>IFERROR(__xludf.DUMMYFUNCTION("""COMPUTED_VALUE"""),"")</f>
        <v/>
      </c>
      <c r="Y926" s="4"/>
      <c r="Z926" s="6"/>
      <c r="AA926" s="6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 t="str">
        <f>IFERROR(__xludf.DUMMYFUNCTION("""COMPUTED_VALUE"""),"")</f>
        <v/>
      </c>
      <c r="Y927" s="7"/>
      <c r="Z927" s="9"/>
      <c r="AA927" s="9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 t="str">
        <f>IFERROR(__xludf.DUMMYFUNCTION("""COMPUTED_VALUE"""),"")</f>
        <v/>
      </c>
      <c r="Y928" s="4"/>
      <c r="Z928" s="6"/>
      <c r="AA928" s="6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 t="str">
        <f>IFERROR(__xludf.DUMMYFUNCTION("""COMPUTED_VALUE"""),"")</f>
        <v/>
      </c>
      <c r="Y929" s="7"/>
      <c r="Z929" s="9"/>
      <c r="AA929" s="9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 t="str">
        <f>IFERROR(__xludf.DUMMYFUNCTION("""COMPUTED_VALUE"""),"")</f>
        <v/>
      </c>
      <c r="Y930" s="4"/>
      <c r="Z930" s="6"/>
      <c r="AA930" s="6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 t="str">
        <f>IFERROR(__xludf.DUMMYFUNCTION("""COMPUTED_VALUE"""),"")</f>
        <v/>
      </c>
      <c r="Y931" s="7"/>
      <c r="Z931" s="9"/>
      <c r="AA931" s="9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 t="str">
        <f>IFERROR(__xludf.DUMMYFUNCTION("""COMPUTED_VALUE"""),"")</f>
        <v/>
      </c>
      <c r="Y932" s="4"/>
      <c r="Z932" s="6"/>
      <c r="AA932" s="6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 t="str">
        <f>IFERROR(__xludf.DUMMYFUNCTION("""COMPUTED_VALUE"""),"")</f>
        <v/>
      </c>
      <c r="Y933" s="7"/>
      <c r="Z933" s="9"/>
      <c r="AA933" s="9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 t="str">
        <f>IFERROR(__xludf.DUMMYFUNCTION("""COMPUTED_VALUE"""),"")</f>
        <v/>
      </c>
      <c r="Y934" s="4"/>
      <c r="Z934" s="6"/>
      <c r="AA934" s="6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 t="str">
        <f>IFERROR(__xludf.DUMMYFUNCTION("""COMPUTED_VALUE"""),"")</f>
        <v/>
      </c>
      <c r="Y935" s="7"/>
      <c r="Z935" s="9"/>
      <c r="AA935" s="9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 t="str">
        <f>IFERROR(__xludf.DUMMYFUNCTION("""COMPUTED_VALUE"""),"")</f>
        <v/>
      </c>
      <c r="Y936" s="4"/>
      <c r="Z936" s="6"/>
      <c r="AA936" s="6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 t="str">
        <f>IFERROR(__xludf.DUMMYFUNCTION("""COMPUTED_VALUE"""),"")</f>
        <v/>
      </c>
      <c r="Y937" s="7"/>
      <c r="Z937" s="9"/>
      <c r="AA937" s="9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 t="str">
        <f>IFERROR(__xludf.DUMMYFUNCTION("""COMPUTED_VALUE"""),"")</f>
        <v/>
      </c>
      <c r="Y938" s="4"/>
      <c r="Z938" s="6"/>
      <c r="AA938" s="6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 t="str">
        <f>IFERROR(__xludf.DUMMYFUNCTION("""COMPUTED_VALUE"""),"")</f>
        <v/>
      </c>
      <c r="Y939" s="7"/>
      <c r="Z939" s="9"/>
      <c r="AA939" s="9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 t="str">
        <f>IFERROR(__xludf.DUMMYFUNCTION("""COMPUTED_VALUE"""),"")</f>
        <v/>
      </c>
      <c r="Y940" s="4"/>
      <c r="Z940" s="6"/>
      <c r="AA940" s="6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 t="str">
        <f>IFERROR(__xludf.DUMMYFUNCTION("""COMPUTED_VALUE"""),"")</f>
        <v/>
      </c>
      <c r="Y941" s="7"/>
      <c r="Z941" s="9"/>
      <c r="AA941" s="9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 t="str">
        <f>IFERROR(__xludf.DUMMYFUNCTION("""COMPUTED_VALUE"""),"")</f>
        <v/>
      </c>
      <c r="Y942" s="4"/>
      <c r="Z942" s="6"/>
      <c r="AA942" s="6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 t="str">
        <f>IFERROR(__xludf.DUMMYFUNCTION("""COMPUTED_VALUE"""),"")</f>
        <v/>
      </c>
      <c r="Y943" s="7"/>
      <c r="Z943" s="9"/>
      <c r="AA943" s="9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 t="str">
        <f>IFERROR(__xludf.DUMMYFUNCTION("""COMPUTED_VALUE"""),"")</f>
        <v/>
      </c>
      <c r="Y944" s="4"/>
      <c r="Z944" s="6"/>
      <c r="AA944" s="6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 t="str">
        <f>IFERROR(__xludf.DUMMYFUNCTION("""COMPUTED_VALUE"""),"")</f>
        <v/>
      </c>
      <c r="Y945" s="7"/>
      <c r="Z945" s="9"/>
      <c r="AA945" s="9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 t="str">
        <f>IFERROR(__xludf.DUMMYFUNCTION("""COMPUTED_VALUE"""),"")</f>
        <v/>
      </c>
      <c r="Y946" s="4"/>
      <c r="Z946" s="6"/>
      <c r="AA946" s="6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 t="str">
        <f>IFERROR(__xludf.DUMMYFUNCTION("""COMPUTED_VALUE"""),"")</f>
        <v/>
      </c>
      <c r="Y947" s="7"/>
      <c r="Z947" s="9"/>
      <c r="AA947" s="9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 t="str">
        <f>IFERROR(__xludf.DUMMYFUNCTION("""COMPUTED_VALUE"""),"")</f>
        <v/>
      </c>
      <c r="Y948" s="4"/>
      <c r="Z948" s="6"/>
      <c r="AA948" s="6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 t="str">
        <f>IFERROR(__xludf.DUMMYFUNCTION("""COMPUTED_VALUE"""),"")</f>
        <v/>
      </c>
      <c r="Y949" s="7"/>
      <c r="Z949" s="9"/>
      <c r="AA949" s="9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 t="str">
        <f>IFERROR(__xludf.DUMMYFUNCTION("""COMPUTED_VALUE"""),"")</f>
        <v/>
      </c>
      <c r="Y950" s="4"/>
      <c r="Z950" s="6"/>
      <c r="AA950" s="6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 t="str">
        <f>IFERROR(__xludf.DUMMYFUNCTION("""COMPUTED_VALUE"""),"")</f>
        <v/>
      </c>
      <c r="Y951" s="7"/>
      <c r="Z951" s="9"/>
      <c r="AA951" s="9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 t="str">
        <f>IFERROR(__xludf.DUMMYFUNCTION("""COMPUTED_VALUE"""),"")</f>
        <v/>
      </c>
      <c r="Y952" s="4"/>
      <c r="Z952" s="6"/>
      <c r="AA952" s="6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 t="str">
        <f>IFERROR(__xludf.DUMMYFUNCTION("""COMPUTED_VALUE"""),"")</f>
        <v/>
      </c>
      <c r="Y953" s="7"/>
      <c r="Z953" s="9"/>
      <c r="AA953" s="9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 t="str">
        <f>IFERROR(__xludf.DUMMYFUNCTION("""COMPUTED_VALUE"""),"")</f>
        <v/>
      </c>
      <c r="Y954" s="4"/>
      <c r="Z954" s="6"/>
      <c r="AA954" s="6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 t="str">
        <f>IFERROR(__xludf.DUMMYFUNCTION("""COMPUTED_VALUE"""),"")</f>
        <v/>
      </c>
      <c r="Y955" s="7"/>
      <c r="Z955" s="9"/>
      <c r="AA955" s="9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 t="str">
        <f>IFERROR(__xludf.DUMMYFUNCTION("""COMPUTED_VALUE"""),"")</f>
        <v/>
      </c>
      <c r="Y956" s="4"/>
      <c r="Z956" s="6"/>
      <c r="AA956" s="6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 t="str">
        <f>IFERROR(__xludf.DUMMYFUNCTION("""COMPUTED_VALUE"""),"")</f>
        <v/>
      </c>
      <c r="Y957" s="7"/>
      <c r="Z957" s="9"/>
      <c r="AA957" s="9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 t="str">
        <f>IFERROR(__xludf.DUMMYFUNCTION("""COMPUTED_VALUE"""),"")</f>
        <v/>
      </c>
      <c r="Y958" s="4"/>
      <c r="Z958" s="6"/>
      <c r="AA958" s="6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 t="str">
        <f>IFERROR(__xludf.DUMMYFUNCTION("""COMPUTED_VALUE"""),"")</f>
        <v/>
      </c>
      <c r="Y959" s="7"/>
      <c r="Z959" s="9"/>
      <c r="AA959" s="9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 t="str">
        <f>IFERROR(__xludf.DUMMYFUNCTION("""COMPUTED_VALUE"""),"")</f>
        <v/>
      </c>
      <c r="Y960" s="4"/>
      <c r="Z960" s="6"/>
      <c r="AA960" s="6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 t="str">
        <f>IFERROR(__xludf.DUMMYFUNCTION("""COMPUTED_VALUE"""),"")</f>
        <v/>
      </c>
      <c r="Y961" s="7"/>
      <c r="Z961" s="9"/>
      <c r="AA961" s="9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 t="str">
        <f>IFERROR(__xludf.DUMMYFUNCTION("""COMPUTED_VALUE"""),"")</f>
        <v/>
      </c>
      <c r="Y962" s="4"/>
      <c r="Z962" s="6"/>
      <c r="AA962" s="6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 t="str">
        <f>IFERROR(__xludf.DUMMYFUNCTION("""COMPUTED_VALUE"""),"")</f>
        <v/>
      </c>
      <c r="Y963" s="7"/>
      <c r="Z963" s="9"/>
      <c r="AA963" s="9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 t="str">
        <f>IFERROR(__xludf.DUMMYFUNCTION("""COMPUTED_VALUE"""),"")</f>
        <v/>
      </c>
      <c r="Y964" s="4"/>
      <c r="Z964" s="6"/>
      <c r="AA964" s="6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 t="str">
        <f>IFERROR(__xludf.DUMMYFUNCTION("""COMPUTED_VALUE"""),"")</f>
        <v/>
      </c>
      <c r="Y965" s="7"/>
      <c r="Z965" s="9"/>
      <c r="AA965" s="9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 t="str">
        <f>IFERROR(__xludf.DUMMYFUNCTION("""COMPUTED_VALUE"""),"")</f>
        <v/>
      </c>
      <c r="Y966" s="4"/>
      <c r="Z966" s="6"/>
      <c r="AA966" s="6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 t="str">
        <f>IFERROR(__xludf.DUMMYFUNCTION("""COMPUTED_VALUE"""),"")</f>
        <v/>
      </c>
      <c r="Y967" s="7"/>
      <c r="Z967" s="9"/>
      <c r="AA967" s="9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 t="str">
        <f>IFERROR(__xludf.DUMMYFUNCTION("""COMPUTED_VALUE"""),"")</f>
        <v/>
      </c>
      <c r="Y968" s="4"/>
      <c r="Z968" s="6"/>
      <c r="AA968" s="6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 t="str">
        <f>IFERROR(__xludf.DUMMYFUNCTION("""COMPUTED_VALUE"""),"")</f>
        <v/>
      </c>
      <c r="Y969" s="7"/>
      <c r="Z969" s="9"/>
      <c r="AA969" s="9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 t="str">
        <f>IFERROR(__xludf.DUMMYFUNCTION("""COMPUTED_VALUE"""),"")</f>
        <v/>
      </c>
      <c r="Y970" s="4"/>
      <c r="Z970" s="6"/>
      <c r="AA970" s="6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 t="str">
        <f>IFERROR(__xludf.DUMMYFUNCTION("""COMPUTED_VALUE"""),"")</f>
        <v/>
      </c>
      <c r="Y971" s="7"/>
      <c r="Z971" s="9"/>
      <c r="AA971" s="9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 t="str">
        <f>IFERROR(__xludf.DUMMYFUNCTION("""COMPUTED_VALUE"""),"")</f>
        <v/>
      </c>
      <c r="Y972" s="4"/>
      <c r="Z972" s="6"/>
      <c r="AA972" s="6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 t="str">
        <f>IFERROR(__xludf.DUMMYFUNCTION("""COMPUTED_VALUE"""),"")</f>
        <v/>
      </c>
      <c r="Y973" s="7"/>
      <c r="Z973" s="9"/>
      <c r="AA973" s="9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 t="str">
        <f>IFERROR(__xludf.DUMMYFUNCTION("""COMPUTED_VALUE"""),"")</f>
        <v/>
      </c>
      <c r="Y974" s="4"/>
      <c r="Z974" s="6"/>
      <c r="AA974" s="6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 t="str">
        <f>IFERROR(__xludf.DUMMYFUNCTION("""COMPUTED_VALUE"""),"")</f>
        <v/>
      </c>
      <c r="Y975" s="7"/>
      <c r="Z975" s="9"/>
      <c r="AA975" s="9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 t="str">
        <f>IFERROR(__xludf.DUMMYFUNCTION("""COMPUTED_VALUE"""),"")</f>
        <v/>
      </c>
      <c r="Y976" s="4"/>
      <c r="Z976" s="6"/>
      <c r="AA976" s="6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 t="str">
        <f>IFERROR(__xludf.DUMMYFUNCTION("""COMPUTED_VALUE"""),"")</f>
        <v/>
      </c>
      <c r="Y977" s="7"/>
      <c r="Z977" s="9"/>
      <c r="AA977" s="9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 t="str">
        <f>IFERROR(__xludf.DUMMYFUNCTION("""COMPUTED_VALUE"""),"")</f>
        <v/>
      </c>
      <c r="Y978" s="4"/>
      <c r="Z978" s="6"/>
      <c r="AA978" s="6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 t="str">
        <f>IFERROR(__xludf.DUMMYFUNCTION("""COMPUTED_VALUE"""),"")</f>
        <v/>
      </c>
      <c r="Y979" s="7"/>
      <c r="Z979" s="9"/>
      <c r="AA979" s="9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 t="str">
        <f>IFERROR(__xludf.DUMMYFUNCTION("""COMPUTED_VALUE"""),"")</f>
        <v/>
      </c>
      <c r="Y980" s="4"/>
      <c r="Z980" s="6"/>
      <c r="AA980" s="6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 t="str">
        <f>IFERROR(__xludf.DUMMYFUNCTION("""COMPUTED_VALUE"""),"")</f>
        <v/>
      </c>
      <c r="Y981" s="7"/>
      <c r="Z981" s="9"/>
      <c r="AA981" s="9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 t="str">
        <f>IFERROR(__xludf.DUMMYFUNCTION("""COMPUTED_VALUE"""),"")</f>
        <v/>
      </c>
      <c r="Y982" s="4"/>
      <c r="Z982" s="6"/>
      <c r="AA982" s="6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 t="str">
        <f>IFERROR(__xludf.DUMMYFUNCTION("""COMPUTED_VALUE"""),"")</f>
        <v/>
      </c>
      <c r="Y983" s="7"/>
      <c r="Z983" s="9"/>
      <c r="AA983" s="9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 t="str">
        <f>IFERROR(__xludf.DUMMYFUNCTION("""COMPUTED_VALUE"""),"")</f>
        <v/>
      </c>
      <c r="Y984" s="4"/>
      <c r="Z984" s="6"/>
      <c r="AA984" s="6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 t="str">
        <f>IFERROR(__xludf.DUMMYFUNCTION("""COMPUTED_VALUE"""),"")</f>
        <v/>
      </c>
      <c r="Y985" s="7"/>
      <c r="Z985" s="9"/>
      <c r="AA985" s="9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 t="str">
        <f>IFERROR(__xludf.DUMMYFUNCTION("""COMPUTED_VALUE"""),"")</f>
        <v/>
      </c>
      <c r="Y986" s="4"/>
      <c r="Z986" s="6"/>
      <c r="AA986" s="6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 t="str">
        <f>IFERROR(__xludf.DUMMYFUNCTION("""COMPUTED_VALUE"""),"")</f>
        <v/>
      </c>
      <c r="Y987" s="7"/>
      <c r="Z987" s="9"/>
      <c r="AA987" s="9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 t="str">
        <f>IFERROR(__xludf.DUMMYFUNCTION("""COMPUTED_VALUE"""),"")</f>
        <v/>
      </c>
      <c r="Y988" s="4"/>
      <c r="Z988" s="6"/>
      <c r="AA988" s="6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 t="str">
        <f>IFERROR(__xludf.DUMMYFUNCTION("""COMPUTED_VALUE"""),"")</f>
        <v/>
      </c>
      <c r="Y989" s="7"/>
      <c r="Z989" s="9"/>
      <c r="AA989" s="9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 t="str">
        <f>IFERROR(__xludf.DUMMYFUNCTION("""COMPUTED_VALUE"""),"")</f>
        <v/>
      </c>
      <c r="Y990" s="4"/>
      <c r="Z990" s="6"/>
      <c r="AA990" s="6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 t="str">
        <f>IFERROR(__xludf.DUMMYFUNCTION("""COMPUTED_VALUE"""),"")</f>
        <v/>
      </c>
      <c r="Y991" s="7"/>
      <c r="Z991" s="9"/>
      <c r="AA991" s="9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 t="str">
        <f>IFERROR(__xludf.DUMMYFUNCTION("""COMPUTED_VALUE"""),"")</f>
        <v/>
      </c>
      <c r="Y992" s="4"/>
      <c r="Z992" s="6"/>
      <c r="AA992" s="6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 t="str">
        <f>IFERROR(__xludf.DUMMYFUNCTION("""COMPUTED_VALUE"""),"")</f>
        <v/>
      </c>
      <c r="Y993" s="7"/>
      <c r="Z993" s="9"/>
      <c r="AA993" s="9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 t="str">
        <f>IFERROR(__xludf.DUMMYFUNCTION("""COMPUTED_VALUE"""),"")</f>
        <v/>
      </c>
      <c r="Y994" s="4"/>
      <c r="Z994" s="6"/>
      <c r="AA994" s="6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 t="str">
        <f>IFERROR(__xludf.DUMMYFUNCTION("""COMPUTED_VALUE"""),"")</f>
        <v/>
      </c>
      <c r="Y995" s="7"/>
      <c r="Z995" s="9"/>
      <c r="AA995" s="9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 t="str">
        <f>IFERROR(__xludf.DUMMYFUNCTION("""COMPUTED_VALUE"""),"")</f>
        <v/>
      </c>
      <c r="Y996" s="4"/>
      <c r="Z996" s="6"/>
      <c r="AA996" s="6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 t="str">
        <f>IFERROR(__xludf.DUMMYFUNCTION("""COMPUTED_VALUE"""),"")</f>
        <v/>
      </c>
      <c r="Y997" s="7"/>
      <c r="Z997" s="9"/>
      <c r="AA997" s="9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 t="str">
        <f>IFERROR(__xludf.DUMMYFUNCTION("""COMPUTED_VALUE"""),"")</f>
        <v/>
      </c>
      <c r="Y998" s="4"/>
      <c r="Z998" s="6"/>
      <c r="AA998" s="6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 t="str">
        <f>IFERROR(__xludf.DUMMYFUNCTION("""COMPUTED_VALUE"""),"")</f>
        <v/>
      </c>
      <c r="Y999" s="7"/>
      <c r="Z999" s="9"/>
      <c r="AA999" s="9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 t="str">
        <f>IFERROR(__xludf.DUMMYFUNCTION("""COMPUTED_VALUE"""),"")</f>
        <v/>
      </c>
      <c r="Y1000" s="11"/>
      <c r="Z1000" s="10"/>
      <c r="AA1000" s="10"/>
    </row>
  </sheetData>
  <autoFilter ref="$A$1:$AA$1000"/>
  <conditionalFormatting sqref="J1:J1000">
    <cfRule type="containsText" dxfId="0" priority="1" operator="containsText" text="Rare">
      <formula>NOT(ISERROR(SEARCH(("Rare"),(J1))))</formula>
    </cfRule>
  </conditionalFormatting>
  <conditionalFormatting sqref="J1:J1000">
    <cfRule type="containsText" dxfId="1" priority="2" operator="containsText" text="Legendary">
      <formula>NOT(ISERROR(SEARCH(("Legendary"),(J1))))</formula>
    </cfRule>
  </conditionalFormatting>
  <conditionalFormatting sqref="J1:J1000">
    <cfRule type="containsText" dxfId="2" priority="3" operator="containsText" text="Mythic">
      <formula>NOT(ISERROR(SEARCH(("Mythic"),(J1))))</formula>
    </cfRule>
  </conditionalFormatting>
  <conditionalFormatting sqref="J1:J1000">
    <cfRule type="containsText" dxfId="3" priority="4" operator="containsText" text="Uncommon">
      <formula>NOT(ISERROR(SEARCH(("Uncommon"),(J1))))</formula>
    </cfRule>
  </conditionalFormatting>
  <conditionalFormatting sqref="J1:J1000">
    <cfRule type="containsText" dxfId="4" priority="5" operator="containsText" text="Common">
      <formula>NOT(ISERROR(SEARCH(("Common"),(J1))))</formula>
    </cfRule>
  </conditionalFormatting>
  <conditionalFormatting sqref="J1:J1000">
    <cfRule type="containsText" dxfId="5" priority="6" operator="containsText" text="Demonic">
      <formula>NOT(ISERROR(SEARCH(("Demonic"),(J1))))</formula>
    </cfRule>
  </conditionalFormatting>
  <conditionalFormatting sqref="J1:J1000">
    <cfRule type="containsText" dxfId="6" priority="7" operator="containsText" text="Epic">
      <formula>NOT(ISERROR(SEARCH(("Epic"),(J1))))</formula>
    </cfRule>
  </conditionalFormatting>
  <conditionalFormatting sqref="J1:J1000">
    <cfRule type="containsText" dxfId="7" priority="8" operator="containsText" text="Ancient">
      <formula>NOT(ISERROR(SEARCH(("Ancient"),(J1))))</formula>
    </cfRule>
  </conditionalFormatting>
  <hyperlinks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</hyperlinks>
  <drawing r:id="rId158"/>
  <legacyDrawing r:id="rId1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2" width="6.88"/>
    <col customWidth="1" min="3" max="3" width="12.75"/>
    <col customWidth="1" min="4" max="4" width="110.75"/>
    <col customWidth="1" min="7" max="7" width="66.5"/>
  </cols>
  <sheetData>
    <row r="1">
      <c r="A1" s="12" t="str">
        <f>IFERROR(__xludf.DUMMYFUNCTION("UNIQUE(IMPORTRANGE(""1CG1QQI8OyvNVglxqlqPT9fqRo7FNy3SJfpLGvZcMxvQ"", ""Unit Info!A:A""))"),"UnitName")</f>
        <v>UnitName</v>
      </c>
      <c r="B1" s="12" t="s">
        <v>472</v>
      </c>
      <c r="C1" s="12" t="s">
        <v>473</v>
      </c>
      <c r="D1" s="12" t="s">
        <v>474</v>
      </c>
      <c r="E1" s="13"/>
      <c r="F1" s="13"/>
      <c r="G1" s="14" t="s">
        <v>475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5" t="str">
        <f>IFERROR(__xludf.DUMMYFUNCTION("""COMPUTED_VALUE"""),"GoblinAxeman")</f>
        <v>GoblinAxeman</v>
      </c>
      <c r="B2" s="16" t="str">
        <f t="shared" ref="B2:B1000" si="1">IF(C2="", "", IF(C2&gt;=900, "S", IF(C2&gt;=800, "A", IF(C2&gt;=700, "B", IF(C2&gt;=600, "C", IF(C2&gt;=500, "D", "F"))))))</f>
        <v/>
      </c>
      <c r="C2" s="1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8" t="str">
        <f>IFERROR(__xludf.DUMMYFUNCTION("""COMPUTED_VALUE"""),"Berserker")</f>
        <v>Berserker</v>
      </c>
      <c r="B3" s="19" t="str">
        <f t="shared" si="1"/>
        <v/>
      </c>
      <c r="C3" s="20"/>
      <c r="D3" s="19"/>
      <c r="E3" s="19"/>
      <c r="F3" s="19"/>
      <c r="G3" s="18"/>
      <c r="H3" s="18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5" t="str">
        <f>IFERROR(__xludf.DUMMYFUNCTION("""COMPUTED_VALUE"""),"OmelaTree")</f>
        <v>OmelaTree</v>
      </c>
      <c r="B4" s="16" t="str">
        <f t="shared" si="1"/>
        <v>B</v>
      </c>
      <c r="C4" s="17">
        <v>730.0</v>
      </c>
      <c r="D4" s="15" t="s">
        <v>476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8" t="str">
        <f>IFERROR(__xludf.DUMMYFUNCTION("""COMPUTED_VALUE"""),"DemonicArbalester")</f>
        <v>DemonicArbalester</v>
      </c>
      <c r="B5" s="19" t="str">
        <f t="shared" si="1"/>
        <v/>
      </c>
      <c r="C5" s="20"/>
      <c r="D5" s="18" t="s">
        <v>477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5" t="str">
        <f>IFERROR(__xludf.DUMMYFUNCTION("""COMPUTED_VALUE"""),"Bartender")</f>
        <v>Bartender</v>
      </c>
      <c r="B6" s="16" t="str">
        <f t="shared" si="1"/>
        <v>C</v>
      </c>
      <c r="C6" s="17">
        <v>610.0</v>
      </c>
      <c r="D6" s="15" t="s">
        <v>478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8" t="str">
        <f>IFERROR(__xludf.DUMMYFUNCTION("""COMPUTED_VALUE"""),"LoveWizard")</f>
        <v>LoveWizard</v>
      </c>
      <c r="B7" s="19" t="str">
        <f t="shared" si="1"/>
        <v/>
      </c>
      <c r="C7" s="20"/>
      <c r="D7" s="18" t="s">
        <v>479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5" t="str">
        <f>IFERROR(__xludf.DUMMYFUNCTION("""COMPUTED_VALUE"""),"Miner")</f>
        <v>Miner</v>
      </c>
      <c r="B8" s="16" t="str">
        <f t="shared" si="1"/>
        <v/>
      </c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8" t="str">
        <f>IFERROR(__xludf.DUMMYFUNCTION("""COMPUTED_VALUE"""),"TheIceQueen")</f>
        <v>TheIceQueen</v>
      </c>
      <c r="B9" s="19" t="str">
        <f t="shared" si="1"/>
        <v>F</v>
      </c>
      <c r="C9" s="20">
        <v>1.0</v>
      </c>
      <c r="D9" s="18" t="s">
        <v>480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5" t="str">
        <f>IFERROR(__xludf.DUMMYFUNCTION("""COMPUTED_VALUE"""),"ElvenPathfinder")</f>
        <v>ElvenPathfinder</v>
      </c>
      <c r="B10" s="16" t="str">
        <f t="shared" si="1"/>
        <v/>
      </c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8" t="str">
        <f>IFERROR(__xludf.DUMMYFUNCTION("""COMPUTED_VALUE"""),"GoblinAssassin")</f>
        <v>GoblinAssassin</v>
      </c>
      <c r="B11" s="19" t="str">
        <f t="shared" si="1"/>
        <v/>
      </c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5" t="str">
        <f>IFERROR(__xludf.DUMMYFUNCTION("""COMPUTED_VALUE"""),"Succubus")</f>
        <v>Succubus</v>
      </c>
      <c r="B12" s="16" t="str">
        <f t="shared" si="1"/>
        <v>D</v>
      </c>
      <c r="C12" s="17">
        <v>550.0</v>
      </c>
      <c r="D12" s="15" t="s">
        <v>481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8" t="str">
        <f>IFERROR(__xludf.DUMMYFUNCTION("""COMPUTED_VALUE"""),"Witch")</f>
        <v>Witch</v>
      </c>
      <c r="B13" s="19" t="str">
        <f t="shared" si="1"/>
        <v/>
      </c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5" t="str">
        <f>IFERROR(__xludf.DUMMYFUNCTION("""COMPUTED_VALUE"""),"Wizard")</f>
        <v>Wizard</v>
      </c>
      <c r="B14" s="16" t="str">
        <f t="shared" si="1"/>
        <v/>
      </c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8" t="str">
        <f>IFERROR(__xludf.DUMMYFUNCTION("""COMPUTED_VALUE"""),"Gryla")</f>
        <v>Gryla</v>
      </c>
      <c r="B15" s="19" t="str">
        <f t="shared" si="1"/>
        <v>C</v>
      </c>
      <c r="C15" s="20">
        <v>650.0</v>
      </c>
      <c r="D15" s="18" t="s">
        <v>482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5" t="str">
        <f>IFERROR(__xludf.DUMMYFUNCTION("""COMPUTED_VALUE"""),"PirateAssassinator")</f>
        <v>PirateAssassinator</v>
      </c>
      <c r="B16" s="16" t="str">
        <f t="shared" si="1"/>
        <v/>
      </c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8" t="str">
        <f>IFERROR(__xludf.DUMMYFUNCTION("""COMPUTED_VALUE"""),"Yeti")</f>
        <v>Yeti</v>
      </c>
      <c r="B17" s="19" t="str">
        <f t="shared" si="1"/>
        <v/>
      </c>
      <c r="C17" s="20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5" t="str">
        <f>IFERROR(__xludf.DUMMYFUNCTION("""COMPUTED_VALUE"""),"Pyromancer")</f>
        <v>Pyromancer</v>
      </c>
      <c r="B18" s="16" t="str">
        <f t="shared" si="1"/>
        <v/>
      </c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8" t="str">
        <f>IFERROR(__xludf.DUMMYFUNCTION("""COMPUTED_VALUE"""),"Demon")</f>
        <v>Demon</v>
      </c>
      <c r="B19" s="19" t="str">
        <f t="shared" si="1"/>
        <v>D</v>
      </c>
      <c r="C19" s="20">
        <v>580.0</v>
      </c>
      <c r="D19" s="18" t="s">
        <v>483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5" t="str">
        <f>IFERROR(__xludf.DUMMYFUNCTION("""COMPUTED_VALUE"""),"SummonerWizard")</f>
        <v>SummonerWizard</v>
      </c>
      <c r="B20" s="16" t="str">
        <f t="shared" si="1"/>
        <v/>
      </c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8" t="str">
        <f>IFERROR(__xludf.DUMMYFUNCTION("""COMPUTED_VALUE"""),"PirateQuartermaster")</f>
        <v>PirateQuartermaster</v>
      </c>
      <c r="B21" s="19" t="str">
        <f t="shared" si="1"/>
        <v>F</v>
      </c>
      <c r="C21" s="20">
        <v>470.0</v>
      </c>
      <c r="D21" s="18" t="s">
        <v>484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5" t="str">
        <f>IFERROR(__xludf.DUMMYFUNCTION("""COMPUTED_VALUE"""),"VoidWizard")</f>
        <v>VoidWizard</v>
      </c>
      <c r="B22" s="16" t="str">
        <f t="shared" si="1"/>
        <v/>
      </c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8" t="str">
        <f>IFERROR(__xludf.DUMMYFUNCTION("""COMPUTED_VALUE"""),"ElvenWarrior")</f>
        <v>ElvenWarrior</v>
      </c>
      <c r="B23" s="19" t="str">
        <f t="shared" si="1"/>
        <v/>
      </c>
      <c r="C23" s="21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5" t="str">
        <f>IFERROR(__xludf.DUMMYFUNCTION("""COMPUTED_VALUE"""),"Triton")</f>
        <v>Triton</v>
      </c>
      <c r="B24" s="16" t="str">
        <f t="shared" si="1"/>
        <v>S</v>
      </c>
      <c r="C24" s="17">
        <v>900.0</v>
      </c>
      <c r="D24" s="15" t="s">
        <v>485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8" t="str">
        <f>IFERROR(__xludf.DUMMYFUNCTION("""COMPUTED_VALUE"""),"Roman")</f>
        <v>Roman</v>
      </c>
      <c r="B25" s="19" t="str">
        <f t="shared" si="1"/>
        <v/>
      </c>
      <c r="C25" s="2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5" t="str">
        <f>IFERROR(__xludf.DUMMYFUNCTION("""COMPUTED_VALUE"""),"ElvenDruid")</f>
        <v>ElvenDruid</v>
      </c>
      <c r="B26" s="16" t="str">
        <f t="shared" si="1"/>
        <v/>
      </c>
      <c r="C26" s="22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8" t="str">
        <f>IFERROR(__xludf.DUMMYFUNCTION("""COMPUTED_VALUE"""),"TheAdmiral")</f>
        <v>TheAdmiral</v>
      </c>
      <c r="B27" s="19" t="str">
        <f t="shared" si="1"/>
        <v>F</v>
      </c>
      <c r="C27" s="20">
        <v>1.0</v>
      </c>
      <c r="D27" s="18" t="s">
        <v>480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5" t="str">
        <f>IFERROR(__xludf.DUMMYFUNCTION("""COMPUTED_VALUE"""),"Oceanid")</f>
        <v>Oceanid</v>
      </c>
      <c r="B28" s="16" t="str">
        <f t="shared" si="1"/>
        <v>B</v>
      </c>
      <c r="C28" s="17">
        <v>700.0</v>
      </c>
      <c r="D28" s="15" t="s">
        <v>486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8" t="str">
        <f>IFERROR(__xludf.DUMMYFUNCTION("""COMPUTED_VALUE"""),"Volt")</f>
        <v>Volt</v>
      </c>
      <c r="B29" s="19" t="str">
        <f t="shared" si="1"/>
        <v/>
      </c>
      <c r="C29" s="21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5" t="str">
        <f>IFERROR(__xludf.DUMMYFUNCTION("""COMPUTED_VALUE"""),"FireArcher")</f>
        <v>FireArcher</v>
      </c>
      <c r="B30" s="16" t="str">
        <f t="shared" si="1"/>
        <v/>
      </c>
      <c r="C30" s="22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8" t="str">
        <f>IFERROR(__xludf.DUMMYFUNCTION("""COMPUTED_VALUE"""),"NoobOnTheBeach")</f>
        <v>NoobOnTheBeach</v>
      </c>
      <c r="B31" s="19" t="str">
        <f t="shared" si="1"/>
        <v/>
      </c>
      <c r="C31" s="21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5" t="str">
        <f>IFERROR(__xludf.DUMMYFUNCTION("""COMPUTED_VALUE"""),"GoblinShaman")</f>
        <v>GoblinShaman</v>
      </c>
      <c r="B32" s="16" t="str">
        <f t="shared" si="1"/>
        <v/>
      </c>
      <c r="C32" s="22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8" t="str">
        <f>IFERROR(__xludf.DUMMYFUNCTION("""COMPUTED_VALUE"""),"DarkHerald")</f>
        <v>DarkHerald</v>
      </c>
      <c r="B33" s="19" t="str">
        <f t="shared" si="1"/>
        <v>D</v>
      </c>
      <c r="C33" s="20">
        <v>500.0</v>
      </c>
      <c r="D33" s="18" t="s">
        <v>487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5" t="str">
        <f>IFERROR(__xludf.DUMMYFUNCTION("""COMPUTED_VALUE"""),"Vampire")</f>
        <v>Vampire</v>
      </c>
      <c r="B34" s="16" t="str">
        <f t="shared" si="1"/>
        <v/>
      </c>
      <c r="C34" s="17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8" t="str">
        <f>IFERROR(__xludf.DUMMYFUNCTION("""COMPUTED_VALUE"""),"Cupid")</f>
        <v>Cupid</v>
      </c>
      <c r="B35" s="19" t="str">
        <f t="shared" si="1"/>
        <v/>
      </c>
      <c r="C35" s="21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5" t="str">
        <f>IFERROR(__xludf.DUMMYFUNCTION("""COMPUTED_VALUE"""),"Crabman")</f>
        <v>Crabman</v>
      </c>
      <c r="B36" s="16" t="str">
        <f t="shared" si="1"/>
        <v/>
      </c>
      <c r="C36" s="22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8" t="str">
        <f>IFERROR(__xludf.DUMMYFUNCTION("""COMPUTED_VALUE"""),"Barbarian")</f>
        <v>Barbarian</v>
      </c>
      <c r="B37" s="19" t="str">
        <f t="shared" si="1"/>
        <v/>
      </c>
      <c r="C37" s="21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5" t="str">
        <f>IFERROR(__xludf.DUMMYFUNCTION("""COMPUTED_VALUE"""),"TheReaper")</f>
        <v>TheReaper</v>
      </c>
      <c r="B38" s="16" t="str">
        <f t="shared" si="1"/>
        <v>F</v>
      </c>
      <c r="C38" s="17">
        <v>1.0</v>
      </c>
      <c r="D38" s="15" t="s">
        <v>480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8" t="str">
        <f>IFERROR(__xludf.DUMMYFUNCTION("""COMPUTED_VALUE"""),"Spearman")</f>
        <v>Spearman</v>
      </c>
      <c r="B39" s="19" t="str">
        <f t="shared" si="1"/>
        <v/>
      </c>
      <c r="C39" s="21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5" t="str">
        <f>IFERROR(__xludf.DUMMYFUNCTION("""COMPUTED_VALUE"""),"ElvenWizard")</f>
        <v>ElvenWizard</v>
      </c>
      <c r="B40" s="16" t="str">
        <f t="shared" si="1"/>
        <v/>
      </c>
      <c r="C40" s="22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8" t="str">
        <f>IFERROR(__xludf.DUMMYFUNCTION("""COMPUTED_VALUE"""),"Nereid")</f>
        <v>Nereid</v>
      </c>
      <c r="B41" s="19" t="str">
        <f t="shared" si="1"/>
        <v>C</v>
      </c>
      <c r="C41" s="20">
        <v>690.0</v>
      </c>
      <c r="D41" s="18" t="s">
        <v>488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5" t="str">
        <f>IFERROR(__xludf.DUMMYFUNCTION("""COMPUTED_VALUE"""),"Assassin")</f>
        <v>Assassin</v>
      </c>
      <c r="B42" s="16" t="str">
        <f t="shared" si="1"/>
        <v/>
      </c>
      <c r="C42" s="22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8" t="str">
        <f>IFERROR(__xludf.DUMMYFUNCTION("""COMPUTED_VALUE"""),"GoblinArcher")</f>
        <v>GoblinArcher</v>
      </c>
      <c r="B43" s="19" t="str">
        <f t="shared" si="1"/>
        <v/>
      </c>
      <c r="C43" s="21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5" t="str">
        <f>IFERROR(__xludf.DUMMYFUNCTION("""COMPUTED_VALUE"""),"Hoplomachus")</f>
        <v>Hoplomachus</v>
      </c>
      <c r="B44" s="16" t="str">
        <f t="shared" si="1"/>
        <v/>
      </c>
      <c r="C44" s="22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8" t="str">
        <f>IFERROR(__xludf.DUMMYFUNCTION("""COMPUTED_VALUE"""),"Bandit")</f>
        <v>Bandit</v>
      </c>
      <c r="B45" s="19" t="str">
        <f t="shared" si="1"/>
        <v>C</v>
      </c>
      <c r="C45" s="20">
        <v>600.0</v>
      </c>
      <c r="D45" s="18" t="s">
        <v>489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5" t="str">
        <f>IFERROR(__xludf.DUMMYFUNCTION("""COMPUTED_VALUE"""),"Sharkman")</f>
        <v>Sharkman</v>
      </c>
      <c r="B46" s="16" t="str">
        <f t="shared" si="1"/>
        <v>C</v>
      </c>
      <c r="C46" s="17">
        <v>600.0</v>
      </c>
      <c r="D46" s="15" t="s">
        <v>490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8" t="str">
        <f>IFERROR(__xludf.DUMMYFUNCTION("""COMPUTED_VALUE"""),"Squire")</f>
        <v>Squire</v>
      </c>
      <c r="B47" s="19" t="str">
        <f t="shared" si="1"/>
        <v/>
      </c>
      <c r="C47" s="21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5" t="str">
        <f>IFERROR(__xludf.DUMMYFUNCTION("""COMPUTED_VALUE"""),"Gladiator")</f>
        <v>Gladiator</v>
      </c>
      <c r="B48" s="16" t="str">
        <f t="shared" si="1"/>
        <v/>
      </c>
      <c r="C48" s="22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8" t="str">
        <f>IFERROR(__xludf.DUMMYFUNCTION("""COMPUTED_VALUE"""),"SkeletonDuelist")</f>
        <v>SkeletonDuelist</v>
      </c>
      <c r="B49" s="19" t="str">
        <f t="shared" si="1"/>
        <v/>
      </c>
      <c r="C49" s="21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5" t="str">
        <f>IFERROR(__xludf.DUMMYFUNCTION("""COMPUTED_VALUE"""),"Peasant")</f>
        <v>Peasant</v>
      </c>
      <c r="B50" s="16" t="str">
        <f t="shared" si="1"/>
        <v/>
      </c>
      <c r="C50" s="22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8" t="str">
        <f>IFERROR(__xludf.DUMMYFUNCTION("""COMPUTED_VALUE"""),"Frostflame")</f>
        <v>Frostflame</v>
      </c>
      <c r="B51" s="19" t="str">
        <f t="shared" si="1"/>
        <v/>
      </c>
      <c r="C51" s="21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5" t="str">
        <f>IFERROR(__xludf.DUMMYFUNCTION("""COMPUTED_VALUE"""),"SkeletonAssassin")</f>
        <v>SkeletonAssassin</v>
      </c>
      <c r="B52" s="16" t="str">
        <f t="shared" si="1"/>
        <v/>
      </c>
      <c r="C52" s="22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8" t="str">
        <f>IFERROR(__xludf.DUMMYFUNCTION("""COMPUTED_VALUE"""),"GoblinTank")</f>
        <v>GoblinTank</v>
      </c>
      <c r="B53" s="19" t="str">
        <f t="shared" si="1"/>
        <v/>
      </c>
      <c r="C53" s="21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5" t="str">
        <f>IFERROR(__xludf.DUMMYFUNCTION("""COMPUTED_VALUE"""),"SojutsuMaster")</f>
        <v>SojutsuMaster</v>
      </c>
      <c r="B54" s="16" t="str">
        <f t="shared" si="1"/>
        <v/>
      </c>
      <c r="C54" s="22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8" t="str">
        <f>IFERROR(__xludf.DUMMYFUNCTION("""COMPUTED_VALUE"""),"GoblinKing")</f>
        <v>GoblinKing</v>
      </c>
      <c r="B55" s="19" t="str">
        <f t="shared" si="1"/>
        <v>F</v>
      </c>
      <c r="C55" s="20">
        <v>1.0</v>
      </c>
      <c r="D55" s="18" t="s">
        <v>480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5" t="str">
        <f>IFERROR(__xludf.DUMMYFUNCTION("""COMPUTED_VALUE"""),"PeasantArcher")</f>
        <v>PeasantArcher</v>
      </c>
      <c r="B56" s="16" t="str">
        <f t="shared" si="1"/>
        <v/>
      </c>
      <c r="C56" s="22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8" t="str">
        <f>IFERROR(__xludf.DUMMYFUNCTION("""COMPUTED_VALUE"""),"NoobShaman")</f>
        <v>NoobShaman</v>
      </c>
      <c r="B57" s="19" t="str">
        <f t="shared" si="1"/>
        <v/>
      </c>
      <c r="C57" s="21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5" t="str">
        <f>IFERROR(__xludf.DUMMYFUNCTION("""COMPUTED_VALUE"""),"BabyGoblinWarrior")</f>
        <v>BabyGoblinWarrior</v>
      </c>
      <c r="B58" s="16" t="str">
        <f t="shared" si="1"/>
        <v/>
      </c>
      <c r="C58" s="22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8" t="str">
        <f>IFERROR(__xludf.DUMMYFUNCTION("""COMPUTED_VALUE"""),"SkeletonMage")</f>
        <v>SkeletonMage</v>
      </c>
      <c r="B59" s="19" t="str">
        <f t="shared" si="1"/>
        <v/>
      </c>
      <c r="C59" s="21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5" t="str">
        <f>IFERROR(__xludf.DUMMYFUNCTION("""COMPUTED_VALUE"""),"Commander")</f>
        <v>Commander</v>
      </c>
      <c r="B60" s="16" t="str">
        <f t="shared" si="1"/>
        <v>A</v>
      </c>
      <c r="C60" s="17">
        <v>860.0</v>
      </c>
      <c r="D60" s="15" t="s">
        <v>491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8" t="str">
        <f>IFERROR(__xludf.DUMMYFUNCTION("""COMPUTED_VALUE"""),"ElvenSniper")</f>
        <v>ElvenSniper</v>
      </c>
      <c r="B61" s="19" t="str">
        <f t="shared" si="1"/>
        <v/>
      </c>
      <c r="C61" s="21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5" t="str">
        <f>IFERROR(__xludf.DUMMYFUNCTION("""COMPUTED_VALUE"""),"ChristmasElfWizard")</f>
        <v>ChristmasElfWizard</v>
      </c>
      <c r="B62" s="16" t="str">
        <f t="shared" si="1"/>
        <v/>
      </c>
      <c r="C62" s="22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8" t="str">
        <f>IFERROR(__xludf.DUMMYFUNCTION("""COMPUTED_VALUE"""),"Krampus")</f>
        <v>Krampus</v>
      </c>
      <c r="B63" s="19" t="str">
        <f t="shared" si="1"/>
        <v>B</v>
      </c>
      <c r="C63" s="20">
        <v>710.0</v>
      </c>
      <c r="D63" s="18" t="s">
        <v>492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5" t="str">
        <f>IFERROR(__xludf.DUMMYFUNCTION("""COMPUTED_VALUE"""),"TheIceQueenSmall")</f>
        <v>TheIceQueenSmall</v>
      </c>
      <c r="B64" s="16" t="str">
        <f t="shared" si="1"/>
        <v>C</v>
      </c>
      <c r="C64" s="17">
        <v>650.0</v>
      </c>
      <c r="D64" s="15" t="s">
        <v>493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8" t="str">
        <f>IFERROR(__xludf.DUMMYFUNCTION("""COMPUTED_VALUE"""),"SmallBlackDragon")</f>
        <v>SmallBlackDragon</v>
      </c>
      <c r="B65" s="19" t="str">
        <f t="shared" si="1"/>
        <v>S</v>
      </c>
      <c r="C65" s="20">
        <v>990.0</v>
      </c>
      <c r="D65" s="18" t="s">
        <v>494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5" t="str">
        <f>IFERROR(__xludf.DUMMYFUNCTION("""COMPUTED_VALUE"""),"BloodMage")</f>
        <v>BloodMage</v>
      </c>
      <c r="B66" s="16" t="str">
        <f t="shared" si="1"/>
        <v/>
      </c>
      <c r="C66" s="22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8" t="str">
        <f>IFERROR(__xludf.DUMMYFUNCTION("""COMPUTED_VALUE"""),"Bard")</f>
        <v>Bard</v>
      </c>
      <c r="B67" s="19" t="str">
        <f t="shared" si="1"/>
        <v>C</v>
      </c>
      <c r="C67" s="20">
        <v>620.0</v>
      </c>
      <c r="D67" s="18" t="s">
        <v>495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5" t="str">
        <f>IFERROR(__xludf.DUMMYFUNCTION("""COMPUTED_VALUE"""),"CandyCane")</f>
        <v>CandyCane</v>
      </c>
      <c r="B68" s="16" t="str">
        <f t="shared" si="1"/>
        <v/>
      </c>
      <c r="C68" s="22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8" t="str">
        <f>IFERROR(__xludf.DUMMYFUNCTION("""COMPUTED_VALUE"""),"PirateShooter")</f>
        <v>PirateShooter</v>
      </c>
      <c r="B69" s="19" t="str">
        <f t="shared" si="1"/>
        <v/>
      </c>
      <c r="C69" s="21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5" t="str">
        <f>IFERROR(__xludf.DUMMYFUNCTION("""COMPUTED_VALUE"""),"Boatswain")</f>
        <v>Boatswain</v>
      </c>
      <c r="B70" s="16" t="str">
        <f t="shared" si="1"/>
        <v/>
      </c>
      <c r="C70" s="22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8" t="str">
        <f>IFERROR(__xludf.DUMMYFUNCTION("""COMPUTED_VALUE"""),"PirateSailor")</f>
        <v>PirateSailor</v>
      </c>
      <c r="B71" s="19" t="str">
        <f t="shared" si="1"/>
        <v/>
      </c>
      <c r="C71" s="21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5" t="str">
        <f>IFERROR(__xludf.DUMMYFUNCTION("""COMPUTED_VALUE"""),"Vendigo")</f>
        <v>Vendigo</v>
      </c>
      <c r="B72" s="16" t="str">
        <f t="shared" si="1"/>
        <v>C</v>
      </c>
      <c r="C72" s="17">
        <v>670.0</v>
      </c>
      <c r="D72" s="15" t="s">
        <v>496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8" t="str">
        <f>IFERROR(__xludf.DUMMYFUNCTION("""COMPUTED_VALUE"""),"SmallHeadlessKnight")</f>
        <v>SmallHeadlessKnight</v>
      </c>
      <c r="B73" s="19" t="str">
        <f t="shared" si="1"/>
        <v/>
      </c>
      <c r="C73" s="20"/>
      <c r="D73" s="18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5" t="str">
        <f>IFERROR(__xludf.DUMMYFUNCTION("""COMPUTED_VALUE"""),"Trifang")</f>
        <v>Trifang</v>
      </c>
      <c r="B74" s="16" t="str">
        <f t="shared" si="1"/>
        <v/>
      </c>
      <c r="C74" s="22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8" t="str">
        <f>IFERROR(__xludf.DUMMYFUNCTION("""COMPUTED_VALUE"""),"DragonDemon")</f>
        <v>DragonDemon</v>
      </c>
      <c r="B75" s="19" t="str">
        <f t="shared" si="1"/>
        <v/>
      </c>
      <c r="C75" s="21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5" t="str">
        <f>IFERROR(__xludf.DUMMYFUNCTION("""COMPUTED_VALUE"""),"CrimsonAssassin")</f>
        <v>CrimsonAssassin</v>
      </c>
      <c r="B76" s="16" t="str">
        <f t="shared" si="1"/>
        <v/>
      </c>
      <c r="C76" s="22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8" t="str">
        <f>IFERROR(__xludf.DUMMYFUNCTION("""COMPUTED_VALUE"""),"Viking")</f>
        <v>Viking</v>
      </c>
      <c r="B77" s="19" t="str">
        <f t="shared" si="1"/>
        <v/>
      </c>
      <c r="C77" s="21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5" t="str">
        <f>IFERROR(__xludf.DUMMYFUNCTION("""COMPUTED_VALUE"""),"Torturer")</f>
        <v>Torturer</v>
      </c>
      <c r="B78" s="16" t="str">
        <f t="shared" si="1"/>
        <v/>
      </c>
      <c r="C78" s="22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8" t="str">
        <f>IFERROR(__xludf.DUMMYFUNCTION("""COMPUTED_VALUE"""),"Rhythmclaw")</f>
        <v>Rhythmclaw</v>
      </c>
      <c r="B79" s="19" t="str">
        <f t="shared" si="1"/>
        <v>B</v>
      </c>
      <c r="C79" s="20">
        <v>740.0</v>
      </c>
      <c r="D79" s="18" t="s">
        <v>497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5" t="str">
        <f>IFERROR(__xludf.DUMMYFUNCTION("""COMPUTED_VALUE"""),"ElvenAssassin")</f>
        <v>ElvenAssassin</v>
      </c>
      <c r="B80" s="16" t="str">
        <f t="shared" si="1"/>
        <v/>
      </c>
      <c r="C80" s="17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8" t="str">
        <f>IFERROR(__xludf.DUMMYFUNCTION("""COMPUTED_VALUE"""),"GoblinKingSmall")</f>
        <v>GoblinKingSmall</v>
      </c>
      <c r="B81" s="19" t="str">
        <f t="shared" si="1"/>
        <v/>
      </c>
      <c r="C81" s="21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5" t="str">
        <f>IFERROR(__xludf.DUMMYFUNCTION("""COMPUTED_VALUE"""),"SmallPoseidon")</f>
        <v>SmallPoseidon</v>
      </c>
      <c r="B82" s="16" t="str">
        <f t="shared" si="1"/>
        <v>C</v>
      </c>
      <c r="C82" s="17">
        <v>680.0</v>
      </c>
      <c r="D82" s="15" t="s">
        <v>498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8" t="str">
        <f>IFERROR(__xludf.DUMMYFUNCTION("""COMPUTED_VALUE"""),"Medusa")</f>
        <v>Medusa</v>
      </c>
      <c r="B83" s="19" t="str">
        <f t="shared" si="1"/>
        <v>S</v>
      </c>
      <c r="C83" s="20">
        <v>970.0</v>
      </c>
      <c r="D83" s="18" t="s">
        <v>499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5" t="str">
        <f>IFERROR(__xludf.DUMMYFUNCTION("""COMPUTED_VALUE"""),"KiMaster")</f>
        <v>KiMaster</v>
      </c>
      <c r="B84" s="16" t="str">
        <f t="shared" si="1"/>
        <v/>
      </c>
      <c r="C84" s="22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8" t="str">
        <f>IFERROR(__xludf.DUMMYFUNCTION("""COMPUTED_VALUE"""),"DragonSlayer")</f>
        <v>DragonSlayer</v>
      </c>
      <c r="B85" s="19" t="str">
        <f t="shared" si="1"/>
        <v/>
      </c>
      <c r="C85" s="21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5" t="str">
        <f>IFERROR(__xludf.DUMMYFUNCTION("""COMPUTED_VALUE"""),"Angel")</f>
        <v>Angel</v>
      </c>
      <c r="B86" s="16" t="str">
        <f t="shared" si="1"/>
        <v>D</v>
      </c>
      <c r="C86" s="17">
        <v>599.0</v>
      </c>
      <c r="D86" s="15" t="s">
        <v>500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8" t="str">
        <f>IFERROR(__xludf.DUMMYFUNCTION("""COMPUTED_VALUE"""),"DragonBerserker")</f>
        <v>DragonBerserker</v>
      </c>
      <c r="B87" s="19" t="str">
        <f t="shared" si="1"/>
        <v>D</v>
      </c>
      <c r="C87" s="20">
        <v>580.0</v>
      </c>
      <c r="D87" s="18" t="s">
        <v>501</v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5" t="str">
        <f>IFERROR(__xludf.DUMMYFUNCTION("""COMPUTED_VALUE"""),"Cowboy")</f>
        <v>Cowboy</v>
      </c>
      <c r="B88" s="16" t="str">
        <f t="shared" si="1"/>
        <v/>
      </c>
      <c r="C88" s="22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8" t="str">
        <f>IFERROR(__xludf.DUMMYFUNCTION("""COMPUTED_VALUE"""),"Viperfang")</f>
        <v>Viperfang</v>
      </c>
      <c r="B89" s="19" t="str">
        <f t="shared" si="1"/>
        <v>B</v>
      </c>
      <c r="C89" s="20">
        <v>720.0</v>
      </c>
      <c r="D89" s="18" t="s">
        <v>502</v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5" t="str">
        <f>IFERROR(__xludf.DUMMYFUNCTION("""COMPUTED_VALUE"""),"Chaosflare")</f>
        <v>Chaosflare</v>
      </c>
      <c r="B90" s="16" t="str">
        <f t="shared" si="1"/>
        <v>A</v>
      </c>
      <c r="C90" s="17">
        <v>830.0</v>
      </c>
      <c r="D90" s="15" t="s">
        <v>503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8" t="str">
        <f>IFERROR(__xludf.DUMMYFUNCTION("""COMPUTED_VALUE"""),"Thanatos")</f>
        <v>Thanatos</v>
      </c>
      <c r="B91" s="19" t="str">
        <f t="shared" si="1"/>
        <v>S</v>
      </c>
      <c r="C91" s="20">
        <v>990.0</v>
      </c>
      <c r="D91" s="18" t="s">
        <v>504</v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5" t="str">
        <f>IFERROR(__xludf.DUMMYFUNCTION("""COMPUTED_VALUE"""),"Zeus")</f>
        <v>Zeus</v>
      </c>
      <c r="B92" s="16" t="str">
        <f t="shared" si="1"/>
        <v>S</v>
      </c>
      <c r="C92" s="17">
        <v>980.0</v>
      </c>
      <c r="D92" s="15" t="s">
        <v>505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8" t="str">
        <f>IFERROR(__xludf.DUMMYFUNCTION("""COMPUTED_VALUE"""),"DemonicCureflare")</f>
        <v>DemonicCureflare</v>
      </c>
      <c r="B93" s="19" t="str">
        <f t="shared" si="1"/>
        <v>B</v>
      </c>
      <c r="C93" s="20">
        <v>790.0</v>
      </c>
      <c r="D93" s="18" t="s">
        <v>506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5" t="str">
        <f>IFERROR(__xludf.DUMMYFUNCTION("""COMPUTED_VALUE"""),"PlagueDoctor")</f>
        <v>PlagueDoctor</v>
      </c>
      <c r="B94" s="16" t="str">
        <f t="shared" si="1"/>
        <v/>
      </c>
      <c r="C94" s="22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8" t="str">
        <f>IFERROR(__xludf.DUMMYFUNCTION("""COMPUTED_VALUE"""),"SkeletonSamurai")</f>
        <v>SkeletonSamurai</v>
      </c>
      <c r="B95" s="19" t="str">
        <f t="shared" si="1"/>
        <v/>
      </c>
      <c r="C95" s="21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5" t="str">
        <f>IFERROR(__xludf.DUMMYFUNCTION("""COMPUTED_VALUE"""),"HeadlessKnight")</f>
        <v>HeadlessKnight</v>
      </c>
      <c r="B96" s="16" t="str">
        <f t="shared" si="1"/>
        <v>S</v>
      </c>
      <c r="C96" s="17">
        <v>900.0</v>
      </c>
      <c r="D96" s="15" t="s">
        <v>507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8" t="str">
        <f>IFERROR(__xludf.DUMMYFUNCTION("""COMPUTED_VALUE"""),"Marksman")</f>
        <v>Marksman</v>
      </c>
      <c r="B97" s="19" t="str">
        <f t="shared" si="1"/>
        <v>F</v>
      </c>
      <c r="C97" s="20">
        <v>1.0</v>
      </c>
      <c r="D97" s="18" t="s">
        <v>480</v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5" t="str">
        <f>IFERROR(__xludf.DUMMYFUNCTION("""COMPUTED_VALUE"""),"Surfer")</f>
        <v>Surfer</v>
      </c>
      <c r="B98" s="16" t="str">
        <f t="shared" si="1"/>
        <v>F</v>
      </c>
      <c r="C98" s="17">
        <v>480.0</v>
      </c>
      <c r="D98" s="15" t="s">
        <v>508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8" t="str">
        <f>IFERROR(__xludf.DUMMYFUNCTION("""COMPUTED_VALUE"""),"PirateSailorShooter")</f>
        <v>PirateSailorShooter</v>
      </c>
      <c r="B99" s="19" t="str">
        <f t="shared" si="1"/>
        <v>D</v>
      </c>
      <c r="C99" s="20">
        <v>530.0</v>
      </c>
      <c r="D99" s="18" t="s">
        <v>509</v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5" t="str">
        <f>IFERROR(__xludf.DUMMYFUNCTION("""COMPUTED_VALUE"""),"CursedMagician")</f>
        <v>CursedMagician</v>
      </c>
      <c r="B100" s="16" t="str">
        <f t="shared" si="1"/>
        <v/>
      </c>
      <c r="C100" s="22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8" t="str">
        <f>IFERROR(__xludf.DUMMYFUNCTION("""COMPUTED_VALUE"""),"SeaDevil")</f>
        <v>SeaDevil</v>
      </c>
      <c r="B101" s="19" t="str">
        <f t="shared" si="1"/>
        <v/>
      </c>
      <c r="C101" s="21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5" t="str">
        <f>IFERROR(__xludf.DUMMYFUNCTION("""COMPUTED_VALUE"""),"Ent")</f>
        <v>Ent</v>
      </c>
      <c r="B102" s="16" t="str">
        <f t="shared" si="1"/>
        <v>C</v>
      </c>
      <c r="C102" s="17">
        <v>690.0</v>
      </c>
      <c r="D102" s="15" t="s">
        <v>510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8" t="str">
        <f>IFERROR(__xludf.DUMMYFUNCTION("""COMPUTED_VALUE"""),"Zombie")</f>
        <v>Zombie</v>
      </c>
      <c r="B103" s="19" t="str">
        <f t="shared" si="1"/>
        <v>F</v>
      </c>
      <c r="C103" s="20">
        <v>1.0</v>
      </c>
      <c r="D103" s="18" t="s">
        <v>480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5" t="str">
        <f>IFERROR(__xludf.DUMMYFUNCTION("""COMPUTED_VALUE"""),"Noob")</f>
        <v>Noob</v>
      </c>
      <c r="B104" s="16" t="str">
        <f t="shared" si="1"/>
        <v/>
      </c>
      <c r="C104" s="22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8" t="str">
        <f>IFERROR(__xludf.DUMMYFUNCTION("""COMPUTED_VALUE"""),"Necromancer")</f>
        <v>Necromancer</v>
      </c>
      <c r="B105" s="19" t="str">
        <f t="shared" si="1"/>
        <v>F</v>
      </c>
      <c r="C105" s="20">
        <v>2.0</v>
      </c>
      <c r="D105" s="18" t="s">
        <v>511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5" t="str">
        <f>IFERROR(__xludf.DUMMYFUNCTION("""COMPUTED_VALUE"""),"AncientVampire")</f>
        <v>AncientVampire</v>
      </c>
      <c r="B106" s="16" t="str">
        <f t="shared" si="1"/>
        <v/>
      </c>
      <c r="C106" s="22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8" t="str">
        <f>IFERROR(__xludf.DUMMYFUNCTION("""COMPUTED_VALUE"""),"ChristmasElfSwordman")</f>
        <v>ChristmasElfSwordman</v>
      </c>
      <c r="B107" s="19" t="str">
        <f t="shared" si="1"/>
        <v>S</v>
      </c>
      <c r="C107" s="20">
        <v>995.0</v>
      </c>
      <c r="D107" s="18" t="s">
        <v>512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5" t="str">
        <f>IFERROR(__xludf.DUMMYFUNCTION("""COMPUTED_VALUE"""),"Ninja")</f>
        <v>Ninja</v>
      </c>
      <c r="B108" s="16" t="str">
        <f t="shared" si="1"/>
        <v/>
      </c>
      <c r="C108" s="22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8" t="str">
        <f>IFERROR(__xludf.DUMMYFUNCTION("""COMPUTED_VALUE"""),"CageMan")</f>
        <v>CageMan</v>
      </c>
      <c r="B109" s="19" t="str">
        <f t="shared" si="1"/>
        <v/>
      </c>
      <c r="C109" s="21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5" t="str">
        <f>IFERROR(__xludf.DUMMYFUNCTION("""COMPUTED_VALUE"""),"DwarfTank")</f>
        <v>DwarfTank</v>
      </c>
      <c r="B110" s="16" t="str">
        <f t="shared" si="1"/>
        <v/>
      </c>
      <c r="C110" s="22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8" t="str">
        <f>IFERROR(__xludf.DUMMYFUNCTION("""COMPUTED_VALUE"""),"EntSmall")</f>
        <v>EntSmall</v>
      </c>
      <c r="B111" s="19" t="str">
        <f t="shared" si="1"/>
        <v>C</v>
      </c>
      <c r="C111" s="20">
        <v>670.0</v>
      </c>
      <c r="D111" s="18" t="s">
        <v>513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5" t="str">
        <f>IFERROR(__xludf.DUMMYFUNCTION("""COMPUTED_VALUE"""),"Demolitionist")</f>
        <v>Demolitionist</v>
      </c>
      <c r="B112" s="16" t="str">
        <f t="shared" si="1"/>
        <v>C</v>
      </c>
      <c r="C112" s="17">
        <v>650.0</v>
      </c>
      <c r="D112" s="15" t="s">
        <v>514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8" t="str">
        <f>IFERROR(__xludf.DUMMYFUNCTION("""COMPUTED_VALUE"""),"EarthWizard")</f>
        <v>EarthWizard</v>
      </c>
      <c r="B113" s="19" t="str">
        <f t="shared" si="1"/>
        <v/>
      </c>
      <c r="C113" s="21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5" t="str">
        <f>IFERROR(__xludf.DUMMYFUNCTION("""COMPUTED_VALUE"""),"CrossbowMan")</f>
        <v>CrossbowMan</v>
      </c>
      <c r="B114" s="16" t="str">
        <f t="shared" si="1"/>
        <v/>
      </c>
      <c r="C114" s="22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8" t="str">
        <f>IFERROR(__xludf.DUMMYFUNCTION("""COMPUTED_VALUE"""),"Ghoul")</f>
        <v>Ghoul</v>
      </c>
      <c r="B115" s="19" t="str">
        <f t="shared" si="1"/>
        <v/>
      </c>
      <c r="C115" s="21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5" t="str">
        <f>IFERROR(__xludf.DUMMYFUNCTION("""COMPUTED_VALUE"""),"SpookyGhost")</f>
        <v>SpookyGhost</v>
      </c>
      <c r="B116" s="16" t="str">
        <f t="shared" si="1"/>
        <v/>
      </c>
      <c r="C116" s="22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8" t="str">
        <f>IFERROR(__xludf.DUMMYFUNCTION("""COMPUTED_VALUE"""),"SkeletonTank")</f>
        <v>SkeletonTank</v>
      </c>
      <c r="B117" s="19" t="str">
        <f t="shared" si="1"/>
        <v/>
      </c>
      <c r="C117" s="21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5" t="str">
        <f>IFERROR(__xludf.DUMMYFUNCTION("""COMPUTED_VALUE"""),"DragonKnight")</f>
        <v>DragonKnight</v>
      </c>
      <c r="B118" s="16" t="str">
        <f t="shared" si="1"/>
        <v/>
      </c>
      <c r="C118" s="22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8" t="str">
        <f>IFERROR(__xludf.DUMMYFUNCTION("""COMPUTED_VALUE"""),"ChristmasElfArcher")</f>
        <v>ChristmasElfArcher</v>
      </c>
      <c r="B119" s="19" t="str">
        <f t="shared" si="1"/>
        <v>D</v>
      </c>
      <c r="C119" s="20">
        <v>535.0</v>
      </c>
      <c r="D119" s="18" t="s">
        <v>515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5" t="str">
        <f>IFERROR(__xludf.DUMMYFUNCTION("""COMPUTED_VALUE"""),"MadScientist")</f>
        <v>MadScientist</v>
      </c>
      <c r="B120" s="16" t="str">
        <f t="shared" si="1"/>
        <v/>
      </c>
      <c r="C120" s="22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8" t="str">
        <f>IFERROR(__xludf.DUMMYFUNCTION("""COMPUTED_VALUE"""),"SkeletonWarrior")</f>
        <v>SkeletonWarrior</v>
      </c>
      <c r="B121" s="19" t="str">
        <f t="shared" si="1"/>
        <v/>
      </c>
      <c r="C121" s="21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5" t="str">
        <f>IFERROR(__xludf.DUMMYFUNCTION("""COMPUTED_VALUE"""),"Samurai")</f>
        <v>Samurai</v>
      </c>
      <c r="B122" s="16" t="str">
        <f t="shared" si="1"/>
        <v/>
      </c>
      <c r="C122" s="22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8" t="str">
        <f>IFERROR(__xludf.DUMMYFUNCTION("""COMPUTED_VALUE"""),"BabyGoblinArcher")</f>
        <v>BabyGoblinArcher</v>
      </c>
      <c r="B123" s="19" t="str">
        <f t="shared" si="1"/>
        <v/>
      </c>
      <c r="C123" s="21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5" t="str">
        <f>IFERROR(__xludf.DUMMYFUNCTION("""COMPUTED_VALUE"""),"PirateCaptain")</f>
        <v>PirateCaptain</v>
      </c>
      <c r="B124" s="16" t="str">
        <f t="shared" si="1"/>
        <v/>
      </c>
      <c r="C124" s="22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8" t="str">
        <f>IFERROR(__xludf.DUMMYFUNCTION("""COMPUTED_VALUE"""),"PoolPartyBlaster")</f>
        <v>PoolPartyBlaster</v>
      </c>
      <c r="B125" s="19" t="str">
        <f t="shared" si="1"/>
        <v/>
      </c>
      <c r="C125" s="21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5" t="str">
        <f>IFERROR(__xludf.DUMMYFUNCTION("""COMPUTED_VALUE"""),"Sniper")</f>
        <v>Sniper</v>
      </c>
      <c r="B126" s="16" t="str">
        <f t="shared" si="1"/>
        <v/>
      </c>
      <c r="C126" s="22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8" t="str">
        <f>IFERROR(__xludf.DUMMYFUNCTION("""COMPUTED_VALUE"""),"NoobThrower")</f>
        <v>NoobThrower</v>
      </c>
      <c r="B127" s="19" t="str">
        <f t="shared" si="1"/>
        <v/>
      </c>
      <c r="C127" s="21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5" t="str">
        <f>IFERROR(__xludf.DUMMYFUNCTION("""COMPUTED_VALUE"""),"Alchemist")</f>
        <v>Alchemist</v>
      </c>
      <c r="B128" s="16" t="str">
        <f t="shared" si="1"/>
        <v>F</v>
      </c>
      <c r="C128" s="17">
        <v>1.0</v>
      </c>
      <c r="D128" s="15" t="s">
        <v>516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8" t="str">
        <f>IFERROR(__xludf.DUMMYFUNCTION("""COMPUTED_VALUE"""),"Cryomancer")</f>
        <v>Cryomancer</v>
      </c>
      <c r="B129" s="19" t="str">
        <f t="shared" si="1"/>
        <v>D</v>
      </c>
      <c r="C129" s="20">
        <v>570.0</v>
      </c>
      <c r="D129" s="18" t="s">
        <v>517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5" t="str">
        <f>IFERROR(__xludf.DUMMYFUNCTION("""COMPUTED_VALUE"""),"DeadCannoneer")</f>
        <v>DeadCannoneer</v>
      </c>
      <c r="B130" s="16" t="str">
        <f t="shared" si="1"/>
        <v/>
      </c>
      <c r="C130" s="22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8" t="str">
        <f>IFERROR(__xludf.DUMMYFUNCTION("""COMPUTED_VALUE"""),"GoblinWarrior")</f>
        <v>GoblinWarrior</v>
      </c>
      <c r="B131" s="19" t="str">
        <f t="shared" si="1"/>
        <v/>
      </c>
      <c r="C131" s="21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5" t="str">
        <f>IFERROR(__xludf.DUMMYFUNCTION("""COMPUTED_VALUE"""),"TheAdmiralSmall")</f>
        <v>TheAdmiralSmall</v>
      </c>
      <c r="B132" s="16" t="str">
        <f t="shared" si="1"/>
        <v/>
      </c>
      <c r="C132" s="22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8" t="str">
        <f>IFERROR(__xludf.DUMMYFUNCTION("""COMPUTED_VALUE"""),"LivingArmor")</f>
        <v>LivingArmor</v>
      </c>
      <c r="B133" s="19" t="str">
        <f t="shared" si="1"/>
        <v/>
      </c>
      <c r="C133" s="21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5" t="str">
        <f>IFERROR(__xludf.DUMMYFUNCTION("""COMPUTED_VALUE"""),"SmallAncientVampire")</f>
        <v>SmallAncientVampire</v>
      </c>
      <c r="B134" s="16" t="str">
        <f t="shared" si="1"/>
        <v/>
      </c>
      <c r="C134" s="22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8" t="str">
        <f>IFERROR(__xludf.DUMMYFUNCTION("""COMPUTED_VALUE"""),"LivingMummy")</f>
        <v>LivingMummy</v>
      </c>
      <c r="B135" s="19" t="str">
        <f t="shared" si="1"/>
        <v>S</v>
      </c>
      <c r="C135" s="20">
        <v>995.0</v>
      </c>
      <c r="D135" s="18" t="s">
        <v>518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5" t="str">
        <f>IFERROR(__xludf.DUMMYFUNCTION("""COMPUTED_VALUE"""),"Warrior")</f>
        <v>Warrior</v>
      </c>
      <c r="B136" s="16" t="str">
        <f t="shared" si="1"/>
        <v>D</v>
      </c>
      <c r="C136" s="17">
        <v>525.0</v>
      </c>
      <c r="D136" s="15" t="s">
        <v>519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8" t="str">
        <f>IFERROR(__xludf.DUMMYFUNCTION("""COMPUTED_VALUE"""),"FrostWizard")</f>
        <v>FrostWizard</v>
      </c>
      <c r="B137" s="19" t="str">
        <f t="shared" si="1"/>
        <v/>
      </c>
      <c r="C137" s="21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5" t="str">
        <f>IFERROR(__xludf.DUMMYFUNCTION("""COMPUTED_VALUE"""),"InfernoArcher")</f>
        <v>InfernoArcher</v>
      </c>
      <c r="B138" s="16" t="str">
        <f t="shared" si="1"/>
        <v/>
      </c>
      <c r="C138" s="22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8" t="str">
        <f>IFERROR(__xludf.DUMMYFUNCTION("""COMPUTED_VALUE"""),"Jack")</f>
        <v>Jack</v>
      </c>
      <c r="B139" s="19" t="str">
        <f t="shared" si="1"/>
        <v>C</v>
      </c>
      <c r="C139" s="20">
        <v>690.0</v>
      </c>
      <c r="D139" s="18" t="s">
        <v>520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5" t="str">
        <f>IFERROR(__xludf.DUMMYFUNCTION("""COMPUTED_VALUE"""),"Bomber")</f>
        <v>Bomber</v>
      </c>
      <c r="B140" s="16" t="str">
        <f t="shared" si="1"/>
        <v>F</v>
      </c>
      <c r="C140" s="17">
        <v>490.0</v>
      </c>
      <c r="D140" s="15" t="s">
        <v>521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8" t="str">
        <f>IFERROR(__xludf.DUMMYFUNCTION("""COMPUTED_VALUE"""),"PirateMedic")</f>
        <v>PirateMedic</v>
      </c>
      <c r="B141" s="19" t="str">
        <f t="shared" si="1"/>
        <v/>
      </c>
      <c r="C141" s="21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5" t="str">
        <f>IFERROR(__xludf.DUMMYFUNCTION("""COMPUTED_VALUE"""),"GoldenKnight")</f>
        <v>GoldenKnight</v>
      </c>
      <c r="B142" s="16" t="str">
        <f t="shared" si="1"/>
        <v/>
      </c>
      <c r="C142" s="22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8" t="str">
        <f>IFERROR(__xludf.DUMMYFUNCTION("""COMPUTED_VALUE"""),"Spartan")</f>
        <v>Spartan</v>
      </c>
      <c r="B143" s="19" t="str">
        <f t="shared" si="1"/>
        <v>D</v>
      </c>
      <c r="C143" s="20">
        <v>520.0</v>
      </c>
      <c r="D143" s="18" t="s">
        <v>522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5" t="str">
        <f>IFERROR(__xludf.DUMMYFUNCTION("""COMPUTED_VALUE"""),"YukiOnna")</f>
        <v>YukiOnna</v>
      </c>
      <c r="B144" s="16" t="str">
        <f t="shared" si="1"/>
        <v/>
      </c>
      <c r="C144" s="22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8" t="str">
        <f>IFERROR(__xludf.DUMMYFUNCTION("""COMPUTED_VALUE"""),"Druid")</f>
        <v>Druid</v>
      </c>
      <c r="B145" s="19" t="str">
        <f t="shared" si="1"/>
        <v>C</v>
      </c>
      <c r="C145" s="20">
        <v>680.0</v>
      </c>
      <c r="D145" s="18" t="s">
        <v>523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5" t="str">
        <f>IFERROR(__xludf.DUMMYFUNCTION("""COMPUTED_VALUE"""),"Beachcomber")</f>
        <v>Beachcomber</v>
      </c>
      <c r="B146" s="16" t="str">
        <f t="shared" si="1"/>
        <v/>
      </c>
      <c r="C146" s="22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8" t="str">
        <f>IFERROR(__xludf.DUMMYFUNCTION("""COMPUTED_VALUE"""),"Therapist")</f>
        <v>Therapist</v>
      </c>
      <c r="B147" s="19" t="str">
        <f t="shared" si="1"/>
        <v/>
      </c>
      <c r="C147" s="21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5" t="str">
        <f>IFERROR(__xludf.DUMMYFUNCTION("""COMPUTED_VALUE"""),"SaintNicholas")</f>
        <v>SaintNicholas</v>
      </c>
      <c r="B148" s="16" t="str">
        <f t="shared" si="1"/>
        <v/>
      </c>
      <c r="C148" s="22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8" t="str">
        <f>IFERROR(__xludf.DUMMYFUNCTION("""COMPUTED_VALUE"""),"TheReaperSmall")</f>
        <v>TheReaperSmall</v>
      </c>
      <c r="B149" s="19" t="str">
        <f t="shared" si="1"/>
        <v>S</v>
      </c>
      <c r="C149" s="20">
        <v>999.0</v>
      </c>
      <c r="D149" s="18" t="s">
        <v>524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5" t="str">
        <f>IFERROR(__xludf.DUMMYFUNCTION("""COMPUTED_VALUE"""),"BattleWizard")</f>
        <v>BattleWizard</v>
      </c>
      <c r="B150" s="16" t="str">
        <f t="shared" si="1"/>
        <v/>
      </c>
      <c r="C150" s="22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8" t="str">
        <f>IFERROR(__xludf.DUMMYFUNCTION("""COMPUTED_VALUE"""),"SkeletonArcher")</f>
        <v>SkeletonArcher</v>
      </c>
      <c r="B151" s="19" t="str">
        <f t="shared" si="1"/>
        <v/>
      </c>
      <c r="C151" s="21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5" t="str">
        <f>IFERROR(__xludf.DUMMYFUNCTION("""COMPUTED_VALUE"""),"NoobSmall(Summon)")</f>
        <v>NoobSmall(Summon)</v>
      </c>
      <c r="B152" s="16" t="str">
        <f t="shared" si="1"/>
        <v/>
      </c>
      <c r="C152" s="22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8" t="str">
        <f>IFERROR(__xludf.DUMMYFUNCTION("""COMPUTED_VALUE"""),"Jolasveinar(Summon)")</f>
        <v>Jolasveinar(Summon)</v>
      </c>
      <c r="B153" s="19" t="str">
        <f t="shared" si="1"/>
        <v>F</v>
      </c>
      <c r="C153" s="20">
        <v>2.0</v>
      </c>
      <c r="D153" s="18" t="s">
        <v>525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5" t="str">
        <f>IFERROR(__xludf.DUMMYFUNCTION("""COMPUTED_VALUE"""),"NecromancerWarrior(Summon)")</f>
        <v>NecromancerWarrior(Summon)</v>
      </c>
      <c r="B154" s="16" t="str">
        <f t="shared" si="1"/>
        <v/>
      </c>
      <c r="C154" s="22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8" t="str">
        <f>IFERROR(__xludf.DUMMYFUNCTION("""COMPUTED_VALUE"""),"SummonerBattleWizard(Summon)")</f>
        <v>SummonerBattleWizard(Summon)</v>
      </c>
      <c r="B155" s="19" t="str">
        <f t="shared" si="1"/>
        <v>F</v>
      </c>
      <c r="C155" s="20">
        <v>1.0</v>
      </c>
      <c r="D155" s="18" t="s">
        <v>526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5" t="str">
        <f>IFERROR(__xludf.DUMMYFUNCTION("""COMPUTED_VALUE"""),"NecromancerArcher(Summon)")</f>
        <v>NecromancerArcher(Summon)</v>
      </c>
      <c r="B156" s="16" t="str">
        <f t="shared" si="1"/>
        <v/>
      </c>
      <c r="C156" s="22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8"/>
      <c r="B157" s="19" t="str">
        <f t="shared" si="1"/>
        <v>F</v>
      </c>
      <c r="C157" s="20">
        <v>2.0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5"/>
      <c r="B158" s="16" t="str">
        <f t="shared" si="1"/>
        <v/>
      </c>
      <c r="C158" s="17"/>
      <c r="D158" s="23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9"/>
      <c r="B159" s="19" t="str">
        <f t="shared" si="1"/>
        <v/>
      </c>
      <c r="C159" s="20"/>
      <c r="D159" s="18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6"/>
      <c r="B160" s="16" t="str">
        <f t="shared" si="1"/>
        <v/>
      </c>
      <c r="C160" s="24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9"/>
      <c r="B161" s="19" t="str">
        <f t="shared" si="1"/>
        <v/>
      </c>
      <c r="C161" s="25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6"/>
      <c r="B162" s="16" t="str">
        <f t="shared" si="1"/>
        <v/>
      </c>
      <c r="C162" s="24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9"/>
      <c r="B163" s="19" t="str">
        <f t="shared" si="1"/>
        <v/>
      </c>
      <c r="C163" s="25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6"/>
      <c r="B164" s="16" t="str">
        <f t="shared" si="1"/>
        <v/>
      </c>
      <c r="C164" s="24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9"/>
      <c r="B165" s="19" t="str">
        <f t="shared" si="1"/>
        <v/>
      </c>
      <c r="C165" s="25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6"/>
      <c r="B166" s="16" t="str">
        <f t="shared" si="1"/>
        <v/>
      </c>
      <c r="C166" s="24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9"/>
      <c r="B167" s="19" t="str">
        <f t="shared" si="1"/>
        <v/>
      </c>
      <c r="C167" s="25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6"/>
      <c r="B168" s="16" t="str">
        <f t="shared" si="1"/>
        <v/>
      </c>
      <c r="C168" s="24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9"/>
      <c r="B169" s="19" t="str">
        <f t="shared" si="1"/>
        <v/>
      </c>
      <c r="C169" s="25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6"/>
      <c r="B170" s="16" t="str">
        <f t="shared" si="1"/>
        <v/>
      </c>
      <c r="C170" s="24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9"/>
      <c r="B171" s="19" t="str">
        <f t="shared" si="1"/>
        <v/>
      </c>
      <c r="C171" s="25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6"/>
      <c r="B172" s="16" t="str">
        <f t="shared" si="1"/>
        <v/>
      </c>
      <c r="C172" s="24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9"/>
      <c r="B173" s="19" t="str">
        <f t="shared" si="1"/>
        <v/>
      </c>
      <c r="C173" s="25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6"/>
      <c r="B174" s="16" t="str">
        <f t="shared" si="1"/>
        <v/>
      </c>
      <c r="C174" s="24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9"/>
      <c r="B175" s="19" t="str">
        <f t="shared" si="1"/>
        <v/>
      </c>
      <c r="C175" s="25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6"/>
      <c r="B176" s="16" t="str">
        <f t="shared" si="1"/>
        <v/>
      </c>
      <c r="C176" s="24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9"/>
      <c r="B177" s="19" t="str">
        <f t="shared" si="1"/>
        <v/>
      </c>
      <c r="C177" s="25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6"/>
      <c r="B178" s="16" t="str">
        <f t="shared" si="1"/>
        <v/>
      </c>
      <c r="C178" s="24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9"/>
      <c r="B179" s="19" t="str">
        <f t="shared" si="1"/>
        <v/>
      </c>
      <c r="C179" s="25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6"/>
      <c r="B180" s="16" t="str">
        <f t="shared" si="1"/>
        <v/>
      </c>
      <c r="C180" s="24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9"/>
      <c r="B181" s="19" t="str">
        <f t="shared" si="1"/>
        <v/>
      </c>
      <c r="C181" s="25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6"/>
      <c r="B182" s="16" t="str">
        <f t="shared" si="1"/>
        <v/>
      </c>
      <c r="C182" s="24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9"/>
      <c r="B183" s="19" t="str">
        <f t="shared" si="1"/>
        <v/>
      </c>
      <c r="C183" s="25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6"/>
      <c r="B184" s="16" t="str">
        <f t="shared" si="1"/>
        <v/>
      </c>
      <c r="C184" s="24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9"/>
      <c r="B185" s="19" t="str">
        <f t="shared" si="1"/>
        <v/>
      </c>
      <c r="C185" s="25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6"/>
      <c r="B186" s="16" t="str">
        <f t="shared" si="1"/>
        <v/>
      </c>
      <c r="C186" s="24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9"/>
      <c r="B187" s="19" t="str">
        <f t="shared" si="1"/>
        <v/>
      </c>
      <c r="C187" s="25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6"/>
      <c r="B188" s="16" t="str">
        <f t="shared" si="1"/>
        <v/>
      </c>
      <c r="C188" s="24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9"/>
      <c r="B189" s="19" t="str">
        <f t="shared" si="1"/>
        <v/>
      </c>
      <c r="C189" s="25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6"/>
      <c r="B190" s="16" t="str">
        <f t="shared" si="1"/>
        <v/>
      </c>
      <c r="C190" s="24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9"/>
      <c r="B191" s="19" t="str">
        <f t="shared" si="1"/>
        <v/>
      </c>
      <c r="C191" s="25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6"/>
      <c r="B192" s="16" t="str">
        <f t="shared" si="1"/>
        <v/>
      </c>
      <c r="C192" s="24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9"/>
      <c r="B193" s="19" t="str">
        <f t="shared" si="1"/>
        <v/>
      </c>
      <c r="C193" s="25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6"/>
      <c r="B194" s="16" t="str">
        <f t="shared" si="1"/>
        <v/>
      </c>
      <c r="C194" s="24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9"/>
      <c r="B195" s="19" t="str">
        <f t="shared" si="1"/>
        <v/>
      </c>
      <c r="C195" s="25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6"/>
      <c r="B196" s="16" t="str">
        <f t="shared" si="1"/>
        <v/>
      </c>
      <c r="C196" s="24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9"/>
      <c r="B197" s="19" t="str">
        <f t="shared" si="1"/>
        <v/>
      </c>
      <c r="C197" s="25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6"/>
      <c r="B198" s="16" t="str">
        <f t="shared" si="1"/>
        <v/>
      </c>
      <c r="C198" s="24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9"/>
      <c r="B199" s="19" t="str">
        <f t="shared" si="1"/>
        <v/>
      </c>
      <c r="C199" s="25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6"/>
      <c r="B200" s="16" t="str">
        <f t="shared" si="1"/>
        <v/>
      </c>
      <c r="C200" s="24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9"/>
      <c r="B201" s="19" t="str">
        <f t="shared" si="1"/>
        <v/>
      </c>
      <c r="C201" s="25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6"/>
      <c r="B202" s="16" t="str">
        <f t="shared" si="1"/>
        <v/>
      </c>
      <c r="C202" s="24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9"/>
      <c r="B203" s="19" t="str">
        <f t="shared" si="1"/>
        <v/>
      </c>
      <c r="C203" s="25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6"/>
      <c r="B204" s="16" t="str">
        <f t="shared" si="1"/>
        <v/>
      </c>
      <c r="C204" s="24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9"/>
      <c r="B205" s="19" t="str">
        <f t="shared" si="1"/>
        <v/>
      </c>
      <c r="C205" s="25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6"/>
      <c r="B206" s="16" t="str">
        <f t="shared" si="1"/>
        <v/>
      </c>
      <c r="C206" s="24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9"/>
      <c r="B207" s="19" t="str">
        <f t="shared" si="1"/>
        <v/>
      </c>
      <c r="C207" s="25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6"/>
      <c r="B208" s="16" t="str">
        <f t="shared" si="1"/>
        <v/>
      </c>
      <c r="C208" s="24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9"/>
      <c r="B209" s="19" t="str">
        <f t="shared" si="1"/>
        <v/>
      </c>
      <c r="C209" s="25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6"/>
      <c r="B210" s="16" t="str">
        <f t="shared" si="1"/>
        <v/>
      </c>
      <c r="C210" s="24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9"/>
      <c r="B211" s="19" t="str">
        <f t="shared" si="1"/>
        <v/>
      </c>
      <c r="C211" s="25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6"/>
      <c r="B212" s="16" t="str">
        <f t="shared" si="1"/>
        <v/>
      </c>
      <c r="C212" s="24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9"/>
      <c r="B213" s="19" t="str">
        <f t="shared" si="1"/>
        <v/>
      </c>
      <c r="C213" s="25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6"/>
      <c r="B214" s="16" t="str">
        <f t="shared" si="1"/>
        <v/>
      </c>
      <c r="C214" s="24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9"/>
      <c r="B215" s="19" t="str">
        <f t="shared" si="1"/>
        <v/>
      </c>
      <c r="C215" s="25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6"/>
      <c r="B216" s="16" t="str">
        <f t="shared" si="1"/>
        <v/>
      </c>
      <c r="C216" s="24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9"/>
      <c r="B217" s="19" t="str">
        <f t="shared" si="1"/>
        <v/>
      </c>
      <c r="C217" s="25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6"/>
      <c r="B218" s="16" t="str">
        <f t="shared" si="1"/>
        <v/>
      </c>
      <c r="C218" s="24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9"/>
      <c r="B219" s="19" t="str">
        <f t="shared" si="1"/>
        <v/>
      </c>
      <c r="C219" s="25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6"/>
      <c r="B220" s="16" t="str">
        <f t="shared" si="1"/>
        <v/>
      </c>
      <c r="C220" s="24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9"/>
      <c r="B221" s="19" t="str">
        <f t="shared" si="1"/>
        <v/>
      </c>
      <c r="C221" s="25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6"/>
      <c r="B222" s="16" t="str">
        <f t="shared" si="1"/>
        <v/>
      </c>
      <c r="C222" s="24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9"/>
      <c r="B223" s="19" t="str">
        <f t="shared" si="1"/>
        <v/>
      </c>
      <c r="C223" s="25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6"/>
      <c r="B224" s="16" t="str">
        <f t="shared" si="1"/>
        <v/>
      </c>
      <c r="C224" s="24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9"/>
      <c r="B225" s="19" t="str">
        <f t="shared" si="1"/>
        <v/>
      </c>
      <c r="C225" s="25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6"/>
      <c r="B226" s="16" t="str">
        <f t="shared" si="1"/>
        <v/>
      </c>
      <c r="C226" s="24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9"/>
      <c r="B227" s="19" t="str">
        <f t="shared" si="1"/>
        <v/>
      </c>
      <c r="C227" s="25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6"/>
      <c r="B228" s="16" t="str">
        <f t="shared" si="1"/>
        <v/>
      </c>
      <c r="C228" s="24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9"/>
      <c r="B229" s="19" t="str">
        <f t="shared" si="1"/>
        <v/>
      </c>
      <c r="C229" s="25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6"/>
      <c r="B230" s="16" t="str">
        <f t="shared" si="1"/>
        <v/>
      </c>
      <c r="C230" s="24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9"/>
      <c r="B231" s="19" t="str">
        <f t="shared" si="1"/>
        <v/>
      </c>
      <c r="C231" s="25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6"/>
      <c r="B232" s="16" t="str">
        <f t="shared" si="1"/>
        <v/>
      </c>
      <c r="C232" s="24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9"/>
      <c r="B233" s="19" t="str">
        <f t="shared" si="1"/>
        <v/>
      </c>
      <c r="C233" s="25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6"/>
      <c r="B234" s="16" t="str">
        <f t="shared" si="1"/>
        <v/>
      </c>
      <c r="C234" s="24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9"/>
      <c r="B235" s="19" t="str">
        <f t="shared" si="1"/>
        <v/>
      </c>
      <c r="C235" s="25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6"/>
      <c r="B236" s="16" t="str">
        <f t="shared" si="1"/>
        <v/>
      </c>
      <c r="C236" s="24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9"/>
      <c r="B237" s="19" t="str">
        <f t="shared" si="1"/>
        <v/>
      </c>
      <c r="C237" s="25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6"/>
      <c r="B238" s="16" t="str">
        <f t="shared" si="1"/>
        <v/>
      </c>
      <c r="C238" s="24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9"/>
      <c r="B239" s="19" t="str">
        <f t="shared" si="1"/>
        <v/>
      </c>
      <c r="C239" s="25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6"/>
      <c r="B240" s="16" t="str">
        <f t="shared" si="1"/>
        <v/>
      </c>
      <c r="C240" s="24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9"/>
      <c r="B241" s="19" t="str">
        <f t="shared" si="1"/>
        <v/>
      </c>
      <c r="C241" s="25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6"/>
      <c r="B242" s="16" t="str">
        <f t="shared" si="1"/>
        <v/>
      </c>
      <c r="C242" s="24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9"/>
      <c r="B243" s="19" t="str">
        <f t="shared" si="1"/>
        <v/>
      </c>
      <c r="C243" s="25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6"/>
      <c r="B244" s="16" t="str">
        <f t="shared" si="1"/>
        <v/>
      </c>
      <c r="C244" s="24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9"/>
      <c r="B245" s="19" t="str">
        <f t="shared" si="1"/>
        <v/>
      </c>
      <c r="C245" s="25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6"/>
      <c r="B246" s="16" t="str">
        <f t="shared" si="1"/>
        <v/>
      </c>
      <c r="C246" s="24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9"/>
      <c r="B247" s="19" t="str">
        <f t="shared" si="1"/>
        <v/>
      </c>
      <c r="C247" s="25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6"/>
      <c r="B248" s="16" t="str">
        <f t="shared" si="1"/>
        <v/>
      </c>
      <c r="C248" s="24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9"/>
      <c r="B249" s="19" t="str">
        <f t="shared" si="1"/>
        <v/>
      </c>
      <c r="C249" s="25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6"/>
      <c r="B250" s="16" t="str">
        <f t="shared" si="1"/>
        <v/>
      </c>
      <c r="C250" s="24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9"/>
      <c r="B251" s="19" t="str">
        <f t="shared" si="1"/>
        <v/>
      </c>
      <c r="C251" s="25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6"/>
      <c r="B252" s="16" t="str">
        <f t="shared" si="1"/>
        <v/>
      </c>
      <c r="C252" s="24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9"/>
      <c r="B253" s="19" t="str">
        <f t="shared" si="1"/>
        <v/>
      </c>
      <c r="C253" s="25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6"/>
      <c r="B254" s="16" t="str">
        <f t="shared" si="1"/>
        <v/>
      </c>
      <c r="C254" s="24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9"/>
      <c r="B255" s="19" t="str">
        <f t="shared" si="1"/>
        <v/>
      </c>
      <c r="C255" s="25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6"/>
      <c r="B256" s="16" t="str">
        <f t="shared" si="1"/>
        <v/>
      </c>
      <c r="C256" s="24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9"/>
      <c r="B257" s="19" t="str">
        <f t="shared" si="1"/>
        <v/>
      </c>
      <c r="C257" s="25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6"/>
      <c r="B258" s="16" t="str">
        <f t="shared" si="1"/>
        <v/>
      </c>
      <c r="C258" s="24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9"/>
      <c r="B259" s="19" t="str">
        <f t="shared" si="1"/>
        <v/>
      </c>
      <c r="C259" s="25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6"/>
      <c r="B260" s="16" t="str">
        <f t="shared" si="1"/>
        <v/>
      </c>
      <c r="C260" s="24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9"/>
      <c r="B261" s="19" t="str">
        <f t="shared" si="1"/>
        <v/>
      </c>
      <c r="C261" s="25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6"/>
      <c r="B262" s="16" t="str">
        <f t="shared" si="1"/>
        <v/>
      </c>
      <c r="C262" s="24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9"/>
      <c r="B263" s="19" t="str">
        <f t="shared" si="1"/>
        <v/>
      </c>
      <c r="C263" s="25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6"/>
      <c r="B264" s="16" t="str">
        <f t="shared" si="1"/>
        <v/>
      </c>
      <c r="C264" s="24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9"/>
      <c r="B265" s="19" t="str">
        <f t="shared" si="1"/>
        <v/>
      </c>
      <c r="C265" s="25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6"/>
      <c r="B266" s="16" t="str">
        <f t="shared" si="1"/>
        <v/>
      </c>
      <c r="C266" s="24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9"/>
      <c r="B267" s="19" t="str">
        <f t="shared" si="1"/>
        <v/>
      </c>
      <c r="C267" s="25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6"/>
      <c r="B268" s="16" t="str">
        <f t="shared" si="1"/>
        <v/>
      </c>
      <c r="C268" s="24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9"/>
      <c r="B269" s="19" t="str">
        <f t="shared" si="1"/>
        <v/>
      </c>
      <c r="C269" s="25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6"/>
      <c r="B270" s="16" t="str">
        <f t="shared" si="1"/>
        <v/>
      </c>
      <c r="C270" s="24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9"/>
      <c r="B271" s="19" t="str">
        <f t="shared" si="1"/>
        <v/>
      </c>
      <c r="C271" s="25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6"/>
      <c r="B272" s="16" t="str">
        <f t="shared" si="1"/>
        <v/>
      </c>
      <c r="C272" s="24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9"/>
      <c r="B273" s="19" t="str">
        <f t="shared" si="1"/>
        <v/>
      </c>
      <c r="C273" s="25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6"/>
      <c r="B274" s="16" t="str">
        <f t="shared" si="1"/>
        <v/>
      </c>
      <c r="C274" s="24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9"/>
      <c r="B275" s="19" t="str">
        <f t="shared" si="1"/>
        <v/>
      </c>
      <c r="C275" s="25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6"/>
      <c r="B276" s="16" t="str">
        <f t="shared" si="1"/>
        <v/>
      </c>
      <c r="C276" s="24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9"/>
      <c r="B277" s="19" t="str">
        <f t="shared" si="1"/>
        <v/>
      </c>
      <c r="C277" s="25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6"/>
      <c r="B278" s="16" t="str">
        <f t="shared" si="1"/>
        <v/>
      </c>
      <c r="C278" s="24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9"/>
      <c r="B279" s="19" t="str">
        <f t="shared" si="1"/>
        <v/>
      </c>
      <c r="C279" s="25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6"/>
      <c r="B280" s="16" t="str">
        <f t="shared" si="1"/>
        <v/>
      </c>
      <c r="C280" s="24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9"/>
      <c r="B281" s="19" t="str">
        <f t="shared" si="1"/>
        <v/>
      </c>
      <c r="C281" s="25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6"/>
      <c r="B282" s="16" t="str">
        <f t="shared" si="1"/>
        <v/>
      </c>
      <c r="C282" s="24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9"/>
      <c r="B283" s="19" t="str">
        <f t="shared" si="1"/>
        <v/>
      </c>
      <c r="C283" s="25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6"/>
      <c r="B284" s="16" t="str">
        <f t="shared" si="1"/>
        <v/>
      </c>
      <c r="C284" s="24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9"/>
      <c r="B285" s="19" t="str">
        <f t="shared" si="1"/>
        <v/>
      </c>
      <c r="C285" s="25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6"/>
      <c r="B286" s="16" t="str">
        <f t="shared" si="1"/>
        <v/>
      </c>
      <c r="C286" s="24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9"/>
      <c r="B287" s="19" t="str">
        <f t="shared" si="1"/>
        <v/>
      </c>
      <c r="C287" s="25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6"/>
      <c r="B288" s="16" t="str">
        <f t="shared" si="1"/>
        <v/>
      </c>
      <c r="C288" s="24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9"/>
      <c r="B289" s="19" t="str">
        <f t="shared" si="1"/>
        <v/>
      </c>
      <c r="C289" s="25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6"/>
      <c r="B290" s="16" t="str">
        <f t="shared" si="1"/>
        <v/>
      </c>
      <c r="C290" s="24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9"/>
      <c r="B291" s="19" t="str">
        <f t="shared" si="1"/>
        <v/>
      </c>
      <c r="C291" s="25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6"/>
      <c r="B292" s="16" t="str">
        <f t="shared" si="1"/>
        <v/>
      </c>
      <c r="C292" s="24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9"/>
      <c r="B293" s="19" t="str">
        <f t="shared" si="1"/>
        <v/>
      </c>
      <c r="C293" s="25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6"/>
      <c r="B294" s="16" t="str">
        <f t="shared" si="1"/>
        <v/>
      </c>
      <c r="C294" s="24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9"/>
      <c r="B295" s="19" t="str">
        <f t="shared" si="1"/>
        <v/>
      </c>
      <c r="C295" s="25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6"/>
      <c r="B296" s="16" t="str">
        <f t="shared" si="1"/>
        <v/>
      </c>
      <c r="C296" s="24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9"/>
      <c r="B297" s="19" t="str">
        <f t="shared" si="1"/>
        <v/>
      </c>
      <c r="C297" s="25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6"/>
      <c r="B298" s="16" t="str">
        <f t="shared" si="1"/>
        <v/>
      </c>
      <c r="C298" s="24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9"/>
      <c r="B299" s="19" t="str">
        <f t="shared" si="1"/>
        <v/>
      </c>
      <c r="C299" s="25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6"/>
      <c r="B300" s="16" t="str">
        <f t="shared" si="1"/>
        <v/>
      </c>
      <c r="C300" s="24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9"/>
      <c r="B301" s="19" t="str">
        <f t="shared" si="1"/>
        <v/>
      </c>
      <c r="C301" s="25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6"/>
      <c r="B302" s="16" t="str">
        <f t="shared" si="1"/>
        <v/>
      </c>
      <c r="C302" s="24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9"/>
      <c r="B303" s="19" t="str">
        <f t="shared" si="1"/>
        <v/>
      </c>
      <c r="C303" s="25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6"/>
      <c r="B304" s="16" t="str">
        <f t="shared" si="1"/>
        <v/>
      </c>
      <c r="C304" s="24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9"/>
      <c r="B305" s="19" t="str">
        <f t="shared" si="1"/>
        <v/>
      </c>
      <c r="C305" s="25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6"/>
      <c r="B306" s="16" t="str">
        <f t="shared" si="1"/>
        <v/>
      </c>
      <c r="C306" s="24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9"/>
      <c r="B307" s="19" t="str">
        <f t="shared" si="1"/>
        <v/>
      </c>
      <c r="C307" s="25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6"/>
      <c r="B308" s="16" t="str">
        <f t="shared" si="1"/>
        <v/>
      </c>
      <c r="C308" s="24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9"/>
      <c r="B309" s="19" t="str">
        <f t="shared" si="1"/>
        <v/>
      </c>
      <c r="C309" s="25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6"/>
      <c r="B310" s="16" t="str">
        <f t="shared" si="1"/>
        <v/>
      </c>
      <c r="C310" s="24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9"/>
      <c r="B311" s="19" t="str">
        <f t="shared" si="1"/>
        <v/>
      </c>
      <c r="C311" s="25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6"/>
      <c r="B312" s="16" t="str">
        <f t="shared" si="1"/>
        <v/>
      </c>
      <c r="C312" s="24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9"/>
      <c r="B313" s="19" t="str">
        <f t="shared" si="1"/>
        <v/>
      </c>
      <c r="C313" s="25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6"/>
      <c r="B314" s="16" t="str">
        <f t="shared" si="1"/>
        <v/>
      </c>
      <c r="C314" s="24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9"/>
      <c r="B315" s="19" t="str">
        <f t="shared" si="1"/>
        <v/>
      </c>
      <c r="C315" s="25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6"/>
      <c r="B316" s="16" t="str">
        <f t="shared" si="1"/>
        <v/>
      </c>
      <c r="C316" s="24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9"/>
      <c r="B317" s="19" t="str">
        <f t="shared" si="1"/>
        <v/>
      </c>
      <c r="C317" s="25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6"/>
      <c r="B318" s="16" t="str">
        <f t="shared" si="1"/>
        <v/>
      </c>
      <c r="C318" s="24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9"/>
      <c r="B319" s="19" t="str">
        <f t="shared" si="1"/>
        <v/>
      </c>
      <c r="C319" s="25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6"/>
      <c r="B320" s="16" t="str">
        <f t="shared" si="1"/>
        <v/>
      </c>
      <c r="C320" s="24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9"/>
      <c r="B321" s="19" t="str">
        <f t="shared" si="1"/>
        <v/>
      </c>
      <c r="C321" s="25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6"/>
      <c r="B322" s="16" t="str">
        <f t="shared" si="1"/>
        <v/>
      </c>
      <c r="C322" s="24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9"/>
      <c r="B323" s="19" t="str">
        <f t="shared" si="1"/>
        <v/>
      </c>
      <c r="C323" s="25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6"/>
      <c r="B324" s="16" t="str">
        <f t="shared" si="1"/>
        <v/>
      </c>
      <c r="C324" s="24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9"/>
      <c r="B325" s="19" t="str">
        <f t="shared" si="1"/>
        <v/>
      </c>
      <c r="C325" s="25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6"/>
      <c r="B326" s="16" t="str">
        <f t="shared" si="1"/>
        <v/>
      </c>
      <c r="C326" s="24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9"/>
      <c r="B327" s="19" t="str">
        <f t="shared" si="1"/>
        <v/>
      </c>
      <c r="C327" s="25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6"/>
      <c r="B328" s="16" t="str">
        <f t="shared" si="1"/>
        <v/>
      </c>
      <c r="C328" s="24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9"/>
      <c r="B329" s="19" t="str">
        <f t="shared" si="1"/>
        <v/>
      </c>
      <c r="C329" s="25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6"/>
      <c r="B330" s="16" t="str">
        <f t="shared" si="1"/>
        <v/>
      </c>
      <c r="C330" s="24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9"/>
      <c r="B331" s="19" t="str">
        <f t="shared" si="1"/>
        <v/>
      </c>
      <c r="C331" s="25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6"/>
      <c r="B332" s="16" t="str">
        <f t="shared" si="1"/>
        <v/>
      </c>
      <c r="C332" s="24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9"/>
      <c r="B333" s="19" t="str">
        <f t="shared" si="1"/>
        <v/>
      </c>
      <c r="C333" s="25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6"/>
      <c r="B334" s="16" t="str">
        <f t="shared" si="1"/>
        <v/>
      </c>
      <c r="C334" s="24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9"/>
      <c r="B335" s="19" t="str">
        <f t="shared" si="1"/>
        <v/>
      </c>
      <c r="C335" s="25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6"/>
      <c r="B336" s="16" t="str">
        <f t="shared" si="1"/>
        <v/>
      </c>
      <c r="C336" s="24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9"/>
      <c r="B337" s="19" t="str">
        <f t="shared" si="1"/>
        <v/>
      </c>
      <c r="C337" s="25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6"/>
      <c r="B338" s="16" t="str">
        <f t="shared" si="1"/>
        <v/>
      </c>
      <c r="C338" s="24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9"/>
      <c r="B339" s="19" t="str">
        <f t="shared" si="1"/>
        <v/>
      </c>
      <c r="C339" s="25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6"/>
      <c r="B340" s="16" t="str">
        <f t="shared" si="1"/>
        <v/>
      </c>
      <c r="C340" s="24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9"/>
      <c r="B341" s="19" t="str">
        <f t="shared" si="1"/>
        <v/>
      </c>
      <c r="C341" s="25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6"/>
      <c r="B342" s="16" t="str">
        <f t="shared" si="1"/>
        <v/>
      </c>
      <c r="C342" s="24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9"/>
      <c r="B343" s="19" t="str">
        <f t="shared" si="1"/>
        <v/>
      </c>
      <c r="C343" s="25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6"/>
      <c r="B344" s="16" t="str">
        <f t="shared" si="1"/>
        <v/>
      </c>
      <c r="C344" s="24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9"/>
      <c r="B345" s="19" t="str">
        <f t="shared" si="1"/>
        <v/>
      </c>
      <c r="C345" s="25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6"/>
      <c r="B346" s="16" t="str">
        <f t="shared" si="1"/>
        <v/>
      </c>
      <c r="C346" s="24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9"/>
      <c r="B347" s="19" t="str">
        <f t="shared" si="1"/>
        <v/>
      </c>
      <c r="C347" s="25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6"/>
      <c r="B348" s="16" t="str">
        <f t="shared" si="1"/>
        <v/>
      </c>
      <c r="C348" s="24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9"/>
      <c r="B349" s="19" t="str">
        <f t="shared" si="1"/>
        <v/>
      </c>
      <c r="C349" s="25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6"/>
      <c r="B350" s="16" t="str">
        <f t="shared" si="1"/>
        <v/>
      </c>
      <c r="C350" s="24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9"/>
      <c r="B351" s="19" t="str">
        <f t="shared" si="1"/>
        <v/>
      </c>
      <c r="C351" s="25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6"/>
      <c r="B352" s="16" t="str">
        <f t="shared" si="1"/>
        <v/>
      </c>
      <c r="C352" s="24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9"/>
      <c r="B353" s="19" t="str">
        <f t="shared" si="1"/>
        <v/>
      </c>
      <c r="C353" s="25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6"/>
      <c r="B354" s="16" t="str">
        <f t="shared" si="1"/>
        <v/>
      </c>
      <c r="C354" s="24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9"/>
      <c r="B355" s="19" t="str">
        <f t="shared" si="1"/>
        <v/>
      </c>
      <c r="C355" s="25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6"/>
      <c r="B356" s="16" t="str">
        <f t="shared" si="1"/>
        <v/>
      </c>
      <c r="C356" s="24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9"/>
      <c r="B357" s="19" t="str">
        <f t="shared" si="1"/>
        <v/>
      </c>
      <c r="C357" s="25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6"/>
      <c r="B358" s="16" t="str">
        <f t="shared" si="1"/>
        <v/>
      </c>
      <c r="C358" s="24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9"/>
      <c r="B359" s="19" t="str">
        <f t="shared" si="1"/>
        <v/>
      </c>
      <c r="C359" s="25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6"/>
      <c r="B360" s="16" t="str">
        <f t="shared" si="1"/>
        <v/>
      </c>
      <c r="C360" s="24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9"/>
      <c r="B361" s="19" t="str">
        <f t="shared" si="1"/>
        <v/>
      </c>
      <c r="C361" s="25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6"/>
      <c r="B362" s="16" t="str">
        <f t="shared" si="1"/>
        <v/>
      </c>
      <c r="C362" s="24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9"/>
      <c r="B363" s="19" t="str">
        <f t="shared" si="1"/>
        <v/>
      </c>
      <c r="C363" s="25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6"/>
      <c r="B364" s="16" t="str">
        <f t="shared" si="1"/>
        <v/>
      </c>
      <c r="C364" s="24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9"/>
      <c r="B365" s="19" t="str">
        <f t="shared" si="1"/>
        <v/>
      </c>
      <c r="C365" s="25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6"/>
      <c r="B366" s="16" t="str">
        <f t="shared" si="1"/>
        <v/>
      </c>
      <c r="C366" s="24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9"/>
      <c r="B367" s="19" t="str">
        <f t="shared" si="1"/>
        <v/>
      </c>
      <c r="C367" s="25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6"/>
      <c r="B368" s="16" t="str">
        <f t="shared" si="1"/>
        <v/>
      </c>
      <c r="C368" s="24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9"/>
      <c r="B369" s="19" t="str">
        <f t="shared" si="1"/>
        <v/>
      </c>
      <c r="C369" s="25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6"/>
      <c r="B370" s="16" t="str">
        <f t="shared" si="1"/>
        <v/>
      </c>
      <c r="C370" s="24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9"/>
      <c r="B371" s="19" t="str">
        <f t="shared" si="1"/>
        <v/>
      </c>
      <c r="C371" s="25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6"/>
      <c r="B372" s="16" t="str">
        <f t="shared" si="1"/>
        <v/>
      </c>
      <c r="C372" s="24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9"/>
      <c r="B373" s="19" t="str">
        <f t="shared" si="1"/>
        <v/>
      </c>
      <c r="C373" s="25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6"/>
      <c r="B374" s="16" t="str">
        <f t="shared" si="1"/>
        <v/>
      </c>
      <c r="C374" s="24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9"/>
      <c r="B375" s="19" t="str">
        <f t="shared" si="1"/>
        <v/>
      </c>
      <c r="C375" s="25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6"/>
      <c r="B376" s="16" t="str">
        <f t="shared" si="1"/>
        <v/>
      </c>
      <c r="C376" s="24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9"/>
      <c r="B377" s="19" t="str">
        <f t="shared" si="1"/>
        <v/>
      </c>
      <c r="C377" s="25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6"/>
      <c r="B378" s="16" t="str">
        <f t="shared" si="1"/>
        <v/>
      </c>
      <c r="C378" s="24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9"/>
      <c r="B379" s="19" t="str">
        <f t="shared" si="1"/>
        <v/>
      </c>
      <c r="C379" s="25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6"/>
      <c r="B380" s="16" t="str">
        <f t="shared" si="1"/>
        <v/>
      </c>
      <c r="C380" s="24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9"/>
      <c r="B381" s="19" t="str">
        <f t="shared" si="1"/>
        <v/>
      </c>
      <c r="C381" s="25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6"/>
      <c r="B382" s="16" t="str">
        <f t="shared" si="1"/>
        <v/>
      </c>
      <c r="C382" s="24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9"/>
      <c r="B383" s="19" t="str">
        <f t="shared" si="1"/>
        <v/>
      </c>
      <c r="C383" s="25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6"/>
      <c r="B384" s="16" t="str">
        <f t="shared" si="1"/>
        <v/>
      </c>
      <c r="C384" s="24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9"/>
      <c r="B385" s="19" t="str">
        <f t="shared" si="1"/>
        <v/>
      </c>
      <c r="C385" s="25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6"/>
      <c r="B386" s="16" t="str">
        <f t="shared" si="1"/>
        <v/>
      </c>
      <c r="C386" s="24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9"/>
      <c r="B387" s="19" t="str">
        <f t="shared" si="1"/>
        <v/>
      </c>
      <c r="C387" s="25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6"/>
      <c r="B388" s="16" t="str">
        <f t="shared" si="1"/>
        <v/>
      </c>
      <c r="C388" s="24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9"/>
      <c r="B389" s="19" t="str">
        <f t="shared" si="1"/>
        <v/>
      </c>
      <c r="C389" s="25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6"/>
      <c r="B390" s="16" t="str">
        <f t="shared" si="1"/>
        <v/>
      </c>
      <c r="C390" s="24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9"/>
      <c r="B391" s="19" t="str">
        <f t="shared" si="1"/>
        <v/>
      </c>
      <c r="C391" s="25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6"/>
      <c r="B392" s="16" t="str">
        <f t="shared" si="1"/>
        <v/>
      </c>
      <c r="C392" s="24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9"/>
      <c r="B393" s="19" t="str">
        <f t="shared" si="1"/>
        <v/>
      </c>
      <c r="C393" s="25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6"/>
      <c r="B394" s="16" t="str">
        <f t="shared" si="1"/>
        <v/>
      </c>
      <c r="C394" s="24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9"/>
      <c r="B395" s="19" t="str">
        <f t="shared" si="1"/>
        <v/>
      </c>
      <c r="C395" s="25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6"/>
      <c r="B396" s="16" t="str">
        <f t="shared" si="1"/>
        <v/>
      </c>
      <c r="C396" s="24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9"/>
      <c r="B397" s="19" t="str">
        <f t="shared" si="1"/>
        <v/>
      </c>
      <c r="C397" s="25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6"/>
      <c r="B398" s="16" t="str">
        <f t="shared" si="1"/>
        <v/>
      </c>
      <c r="C398" s="24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9"/>
      <c r="B399" s="19" t="str">
        <f t="shared" si="1"/>
        <v/>
      </c>
      <c r="C399" s="25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6"/>
      <c r="B400" s="16" t="str">
        <f t="shared" si="1"/>
        <v/>
      </c>
      <c r="C400" s="24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9"/>
      <c r="B401" s="19" t="str">
        <f t="shared" si="1"/>
        <v/>
      </c>
      <c r="C401" s="25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6"/>
      <c r="B402" s="16" t="str">
        <f t="shared" si="1"/>
        <v/>
      </c>
      <c r="C402" s="24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9"/>
      <c r="B403" s="19" t="str">
        <f t="shared" si="1"/>
        <v/>
      </c>
      <c r="C403" s="25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6"/>
      <c r="B404" s="16" t="str">
        <f t="shared" si="1"/>
        <v/>
      </c>
      <c r="C404" s="24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9"/>
      <c r="B405" s="19" t="str">
        <f t="shared" si="1"/>
        <v/>
      </c>
      <c r="C405" s="25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6"/>
      <c r="B406" s="16" t="str">
        <f t="shared" si="1"/>
        <v/>
      </c>
      <c r="C406" s="24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9"/>
      <c r="B407" s="19" t="str">
        <f t="shared" si="1"/>
        <v/>
      </c>
      <c r="C407" s="25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6"/>
      <c r="B408" s="16" t="str">
        <f t="shared" si="1"/>
        <v/>
      </c>
      <c r="C408" s="24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9"/>
      <c r="B409" s="19" t="str">
        <f t="shared" si="1"/>
        <v/>
      </c>
      <c r="C409" s="25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6"/>
      <c r="B410" s="16" t="str">
        <f t="shared" si="1"/>
        <v/>
      </c>
      <c r="C410" s="24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9"/>
      <c r="B411" s="19" t="str">
        <f t="shared" si="1"/>
        <v/>
      </c>
      <c r="C411" s="25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6"/>
      <c r="B412" s="16" t="str">
        <f t="shared" si="1"/>
        <v/>
      </c>
      <c r="C412" s="24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9"/>
      <c r="B413" s="19" t="str">
        <f t="shared" si="1"/>
        <v/>
      </c>
      <c r="C413" s="25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6"/>
      <c r="B414" s="16" t="str">
        <f t="shared" si="1"/>
        <v/>
      </c>
      <c r="C414" s="24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9"/>
      <c r="B415" s="19" t="str">
        <f t="shared" si="1"/>
        <v/>
      </c>
      <c r="C415" s="25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6"/>
      <c r="B416" s="16" t="str">
        <f t="shared" si="1"/>
        <v/>
      </c>
      <c r="C416" s="24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9"/>
      <c r="B417" s="19" t="str">
        <f t="shared" si="1"/>
        <v/>
      </c>
      <c r="C417" s="25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6"/>
      <c r="B418" s="16" t="str">
        <f t="shared" si="1"/>
        <v/>
      </c>
      <c r="C418" s="24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9"/>
      <c r="B419" s="19" t="str">
        <f t="shared" si="1"/>
        <v/>
      </c>
      <c r="C419" s="25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6"/>
      <c r="B420" s="16" t="str">
        <f t="shared" si="1"/>
        <v/>
      </c>
      <c r="C420" s="24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9"/>
      <c r="B421" s="19" t="str">
        <f t="shared" si="1"/>
        <v/>
      </c>
      <c r="C421" s="25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6"/>
      <c r="B422" s="16" t="str">
        <f t="shared" si="1"/>
        <v/>
      </c>
      <c r="C422" s="24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9"/>
      <c r="B423" s="19" t="str">
        <f t="shared" si="1"/>
        <v/>
      </c>
      <c r="C423" s="25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6"/>
      <c r="B424" s="16" t="str">
        <f t="shared" si="1"/>
        <v/>
      </c>
      <c r="C424" s="24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9"/>
      <c r="B425" s="19" t="str">
        <f t="shared" si="1"/>
        <v/>
      </c>
      <c r="C425" s="25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6"/>
      <c r="B426" s="16" t="str">
        <f t="shared" si="1"/>
        <v/>
      </c>
      <c r="C426" s="24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9"/>
      <c r="B427" s="19" t="str">
        <f t="shared" si="1"/>
        <v/>
      </c>
      <c r="C427" s="25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6"/>
      <c r="B428" s="16" t="str">
        <f t="shared" si="1"/>
        <v/>
      </c>
      <c r="C428" s="24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9"/>
      <c r="B429" s="19" t="str">
        <f t="shared" si="1"/>
        <v/>
      </c>
      <c r="C429" s="25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6"/>
      <c r="B430" s="16" t="str">
        <f t="shared" si="1"/>
        <v/>
      </c>
      <c r="C430" s="24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9"/>
      <c r="B431" s="19" t="str">
        <f t="shared" si="1"/>
        <v/>
      </c>
      <c r="C431" s="25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6"/>
      <c r="B432" s="16" t="str">
        <f t="shared" si="1"/>
        <v/>
      </c>
      <c r="C432" s="24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9"/>
      <c r="B433" s="19" t="str">
        <f t="shared" si="1"/>
        <v/>
      </c>
      <c r="C433" s="25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6"/>
      <c r="B434" s="16" t="str">
        <f t="shared" si="1"/>
        <v/>
      </c>
      <c r="C434" s="24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9"/>
      <c r="B435" s="19" t="str">
        <f t="shared" si="1"/>
        <v/>
      </c>
      <c r="C435" s="25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6"/>
      <c r="B436" s="16" t="str">
        <f t="shared" si="1"/>
        <v/>
      </c>
      <c r="C436" s="24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9"/>
      <c r="B437" s="19" t="str">
        <f t="shared" si="1"/>
        <v/>
      </c>
      <c r="C437" s="25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6"/>
      <c r="B438" s="16" t="str">
        <f t="shared" si="1"/>
        <v/>
      </c>
      <c r="C438" s="24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9"/>
      <c r="B439" s="19" t="str">
        <f t="shared" si="1"/>
        <v/>
      </c>
      <c r="C439" s="25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6"/>
      <c r="B440" s="16" t="str">
        <f t="shared" si="1"/>
        <v/>
      </c>
      <c r="C440" s="24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9"/>
      <c r="B441" s="19" t="str">
        <f t="shared" si="1"/>
        <v/>
      </c>
      <c r="C441" s="25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6"/>
      <c r="B442" s="16" t="str">
        <f t="shared" si="1"/>
        <v/>
      </c>
      <c r="C442" s="24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9"/>
      <c r="B443" s="19" t="str">
        <f t="shared" si="1"/>
        <v/>
      </c>
      <c r="C443" s="25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6"/>
      <c r="B444" s="16" t="str">
        <f t="shared" si="1"/>
        <v/>
      </c>
      <c r="C444" s="24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9"/>
      <c r="B445" s="19" t="str">
        <f t="shared" si="1"/>
        <v/>
      </c>
      <c r="C445" s="25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6"/>
      <c r="B446" s="16" t="str">
        <f t="shared" si="1"/>
        <v/>
      </c>
      <c r="C446" s="24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9"/>
      <c r="B447" s="19" t="str">
        <f t="shared" si="1"/>
        <v/>
      </c>
      <c r="C447" s="25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6"/>
      <c r="B448" s="16" t="str">
        <f t="shared" si="1"/>
        <v/>
      </c>
      <c r="C448" s="24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9"/>
      <c r="B449" s="19" t="str">
        <f t="shared" si="1"/>
        <v/>
      </c>
      <c r="C449" s="25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6"/>
      <c r="B450" s="16" t="str">
        <f t="shared" si="1"/>
        <v/>
      </c>
      <c r="C450" s="24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9"/>
      <c r="B451" s="19" t="str">
        <f t="shared" si="1"/>
        <v/>
      </c>
      <c r="C451" s="25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6"/>
      <c r="B452" s="16" t="str">
        <f t="shared" si="1"/>
        <v/>
      </c>
      <c r="C452" s="24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9"/>
      <c r="B453" s="19" t="str">
        <f t="shared" si="1"/>
        <v/>
      </c>
      <c r="C453" s="25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6"/>
      <c r="B454" s="16" t="str">
        <f t="shared" si="1"/>
        <v/>
      </c>
      <c r="C454" s="24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9"/>
      <c r="B455" s="19" t="str">
        <f t="shared" si="1"/>
        <v/>
      </c>
      <c r="C455" s="25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6"/>
      <c r="B456" s="16" t="str">
        <f t="shared" si="1"/>
        <v/>
      </c>
      <c r="C456" s="24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9"/>
      <c r="B457" s="19" t="str">
        <f t="shared" si="1"/>
        <v/>
      </c>
      <c r="C457" s="25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6"/>
      <c r="B458" s="16" t="str">
        <f t="shared" si="1"/>
        <v/>
      </c>
      <c r="C458" s="24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9"/>
      <c r="B459" s="19" t="str">
        <f t="shared" si="1"/>
        <v/>
      </c>
      <c r="C459" s="25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6"/>
      <c r="B460" s="16" t="str">
        <f t="shared" si="1"/>
        <v/>
      </c>
      <c r="C460" s="24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9"/>
      <c r="B461" s="19" t="str">
        <f t="shared" si="1"/>
        <v/>
      </c>
      <c r="C461" s="25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6"/>
      <c r="B462" s="16" t="str">
        <f t="shared" si="1"/>
        <v/>
      </c>
      <c r="C462" s="24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9"/>
      <c r="B463" s="19" t="str">
        <f t="shared" si="1"/>
        <v/>
      </c>
      <c r="C463" s="25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6"/>
      <c r="B464" s="16" t="str">
        <f t="shared" si="1"/>
        <v/>
      </c>
      <c r="C464" s="24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9"/>
      <c r="B465" s="19" t="str">
        <f t="shared" si="1"/>
        <v/>
      </c>
      <c r="C465" s="25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6"/>
      <c r="B466" s="16" t="str">
        <f t="shared" si="1"/>
        <v/>
      </c>
      <c r="C466" s="24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9"/>
      <c r="B467" s="19" t="str">
        <f t="shared" si="1"/>
        <v/>
      </c>
      <c r="C467" s="25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6"/>
      <c r="B468" s="16" t="str">
        <f t="shared" si="1"/>
        <v/>
      </c>
      <c r="C468" s="24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9"/>
      <c r="B469" s="19" t="str">
        <f t="shared" si="1"/>
        <v/>
      </c>
      <c r="C469" s="25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6"/>
      <c r="B470" s="16" t="str">
        <f t="shared" si="1"/>
        <v/>
      </c>
      <c r="C470" s="24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9"/>
      <c r="B471" s="19" t="str">
        <f t="shared" si="1"/>
        <v/>
      </c>
      <c r="C471" s="25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6"/>
      <c r="B472" s="16" t="str">
        <f t="shared" si="1"/>
        <v/>
      </c>
      <c r="C472" s="24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9"/>
      <c r="B473" s="19" t="str">
        <f t="shared" si="1"/>
        <v/>
      </c>
      <c r="C473" s="25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6"/>
      <c r="B474" s="16" t="str">
        <f t="shared" si="1"/>
        <v/>
      </c>
      <c r="C474" s="24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9"/>
      <c r="B475" s="19" t="str">
        <f t="shared" si="1"/>
        <v/>
      </c>
      <c r="C475" s="25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6"/>
      <c r="B476" s="16" t="str">
        <f t="shared" si="1"/>
        <v/>
      </c>
      <c r="C476" s="24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9"/>
      <c r="B477" s="19" t="str">
        <f t="shared" si="1"/>
        <v/>
      </c>
      <c r="C477" s="25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6"/>
      <c r="B478" s="16" t="str">
        <f t="shared" si="1"/>
        <v/>
      </c>
      <c r="C478" s="24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9"/>
      <c r="B479" s="19" t="str">
        <f t="shared" si="1"/>
        <v/>
      </c>
      <c r="C479" s="25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6"/>
      <c r="B480" s="16" t="str">
        <f t="shared" si="1"/>
        <v/>
      </c>
      <c r="C480" s="24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9"/>
      <c r="B481" s="19" t="str">
        <f t="shared" si="1"/>
        <v/>
      </c>
      <c r="C481" s="25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6"/>
      <c r="B482" s="16" t="str">
        <f t="shared" si="1"/>
        <v/>
      </c>
      <c r="C482" s="24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9"/>
      <c r="B483" s="19" t="str">
        <f t="shared" si="1"/>
        <v/>
      </c>
      <c r="C483" s="25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6"/>
      <c r="B484" s="16" t="str">
        <f t="shared" si="1"/>
        <v/>
      </c>
      <c r="C484" s="24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9"/>
      <c r="B485" s="19" t="str">
        <f t="shared" si="1"/>
        <v/>
      </c>
      <c r="C485" s="25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6"/>
      <c r="B486" s="16" t="str">
        <f t="shared" si="1"/>
        <v/>
      </c>
      <c r="C486" s="24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9"/>
      <c r="B487" s="19" t="str">
        <f t="shared" si="1"/>
        <v/>
      </c>
      <c r="C487" s="25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6"/>
      <c r="B488" s="16" t="str">
        <f t="shared" si="1"/>
        <v/>
      </c>
      <c r="C488" s="24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9"/>
      <c r="B489" s="19" t="str">
        <f t="shared" si="1"/>
        <v/>
      </c>
      <c r="C489" s="25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6"/>
      <c r="B490" s="16" t="str">
        <f t="shared" si="1"/>
        <v/>
      </c>
      <c r="C490" s="24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9"/>
      <c r="B491" s="19" t="str">
        <f t="shared" si="1"/>
        <v/>
      </c>
      <c r="C491" s="25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6"/>
      <c r="B492" s="16" t="str">
        <f t="shared" si="1"/>
        <v/>
      </c>
      <c r="C492" s="24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9"/>
      <c r="B493" s="19" t="str">
        <f t="shared" si="1"/>
        <v/>
      </c>
      <c r="C493" s="25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6"/>
      <c r="B494" s="16" t="str">
        <f t="shared" si="1"/>
        <v/>
      </c>
      <c r="C494" s="24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9"/>
      <c r="B495" s="19" t="str">
        <f t="shared" si="1"/>
        <v/>
      </c>
      <c r="C495" s="25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6"/>
      <c r="B496" s="16" t="str">
        <f t="shared" si="1"/>
        <v/>
      </c>
      <c r="C496" s="24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9"/>
      <c r="B497" s="19" t="str">
        <f t="shared" si="1"/>
        <v/>
      </c>
      <c r="C497" s="25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6"/>
      <c r="B498" s="16" t="str">
        <f t="shared" si="1"/>
        <v/>
      </c>
      <c r="C498" s="24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9"/>
      <c r="B499" s="19" t="str">
        <f t="shared" si="1"/>
        <v/>
      </c>
      <c r="C499" s="25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6"/>
      <c r="B500" s="16" t="str">
        <f t="shared" si="1"/>
        <v/>
      </c>
      <c r="C500" s="24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9"/>
      <c r="B501" s="19" t="str">
        <f t="shared" si="1"/>
        <v/>
      </c>
      <c r="C501" s="25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6"/>
      <c r="B502" s="16" t="str">
        <f t="shared" si="1"/>
        <v/>
      </c>
      <c r="C502" s="24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9"/>
      <c r="B503" s="19" t="str">
        <f t="shared" si="1"/>
        <v/>
      </c>
      <c r="C503" s="25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6"/>
      <c r="B504" s="16" t="str">
        <f t="shared" si="1"/>
        <v/>
      </c>
      <c r="C504" s="24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9"/>
      <c r="B505" s="19" t="str">
        <f t="shared" si="1"/>
        <v/>
      </c>
      <c r="C505" s="25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6"/>
      <c r="B506" s="16" t="str">
        <f t="shared" si="1"/>
        <v/>
      </c>
      <c r="C506" s="24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9"/>
      <c r="B507" s="19" t="str">
        <f t="shared" si="1"/>
        <v/>
      </c>
      <c r="C507" s="25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6"/>
      <c r="B508" s="16" t="str">
        <f t="shared" si="1"/>
        <v/>
      </c>
      <c r="C508" s="24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9"/>
      <c r="B509" s="19" t="str">
        <f t="shared" si="1"/>
        <v/>
      </c>
      <c r="C509" s="25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6"/>
      <c r="B510" s="16" t="str">
        <f t="shared" si="1"/>
        <v/>
      </c>
      <c r="C510" s="24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9"/>
      <c r="B511" s="19" t="str">
        <f t="shared" si="1"/>
        <v/>
      </c>
      <c r="C511" s="25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6"/>
      <c r="B512" s="16" t="str">
        <f t="shared" si="1"/>
        <v/>
      </c>
      <c r="C512" s="24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9"/>
      <c r="B513" s="19" t="str">
        <f t="shared" si="1"/>
        <v/>
      </c>
      <c r="C513" s="25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6"/>
      <c r="B514" s="16" t="str">
        <f t="shared" si="1"/>
        <v/>
      </c>
      <c r="C514" s="24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9"/>
      <c r="B515" s="19" t="str">
        <f t="shared" si="1"/>
        <v/>
      </c>
      <c r="C515" s="25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6"/>
      <c r="B516" s="16" t="str">
        <f t="shared" si="1"/>
        <v/>
      </c>
      <c r="C516" s="24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9"/>
      <c r="B517" s="19" t="str">
        <f t="shared" si="1"/>
        <v/>
      </c>
      <c r="C517" s="25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6"/>
      <c r="B518" s="16" t="str">
        <f t="shared" si="1"/>
        <v/>
      </c>
      <c r="C518" s="24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9"/>
      <c r="B519" s="19" t="str">
        <f t="shared" si="1"/>
        <v/>
      </c>
      <c r="C519" s="25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6"/>
      <c r="B520" s="16" t="str">
        <f t="shared" si="1"/>
        <v/>
      </c>
      <c r="C520" s="24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9"/>
      <c r="B521" s="19" t="str">
        <f t="shared" si="1"/>
        <v/>
      </c>
      <c r="C521" s="25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6"/>
      <c r="B522" s="16" t="str">
        <f t="shared" si="1"/>
        <v/>
      </c>
      <c r="C522" s="24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9"/>
      <c r="B523" s="19" t="str">
        <f t="shared" si="1"/>
        <v/>
      </c>
      <c r="C523" s="25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6"/>
      <c r="B524" s="16" t="str">
        <f t="shared" si="1"/>
        <v/>
      </c>
      <c r="C524" s="24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9"/>
      <c r="B525" s="19" t="str">
        <f t="shared" si="1"/>
        <v/>
      </c>
      <c r="C525" s="25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6"/>
      <c r="B526" s="16" t="str">
        <f t="shared" si="1"/>
        <v/>
      </c>
      <c r="C526" s="24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9"/>
      <c r="B527" s="19" t="str">
        <f t="shared" si="1"/>
        <v/>
      </c>
      <c r="C527" s="25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6"/>
      <c r="B528" s="16" t="str">
        <f t="shared" si="1"/>
        <v/>
      </c>
      <c r="C528" s="24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9"/>
      <c r="B529" s="19" t="str">
        <f t="shared" si="1"/>
        <v/>
      </c>
      <c r="C529" s="25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6"/>
      <c r="B530" s="16" t="str">
        <f t="shared" si="1"/>
        <v/>
      </c>
      <c r="C530" s="24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9"/>
      <c r="B531" s="19" t="str">
        <f t="shared" si="1"/>
        <v/>
      </c>
      <c r="C531" s="25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6"/>
      <c r="B532" s="16" t="str">
        <f t="shared" si="1"/>
        <v/>
      </c>
      <c r="C532" s="24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9"/>
      <c r="B533" s="19" t="str">
        <f t="shared" si="1"/>
        <v/>
      </c>
      <c r="C533" s="25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6"/>
      <c r="B534" s="16" t="str">
        <f t="shared" si="1"/>
        <v/>
      </c>
      <c r="C534" s="24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9"/>
      <c r="B535" s="19" t="str">
        <f t="shared" si="1"/>
        <v/>
      </c>
      <c r="C535" s="25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6"/>
      <c r="B536" s="16" t="str">
        <f t="shared" si="1"/>
        <v/>
      </c>
      <c r="C536" s="24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9"/>
      <c r="B537" s="19" t="str">
        <f t="shared" si="1"/>
        <v/>
      </c>
      <c r="C537" s="25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6"/>
      <c r="B538" s="16" t="str">
        <f t="shared" si="1"/>
        <v/>
      </c>
      <c r="C538" s="24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9"/>
      <c r="B539" s="19" t="str">
        <f t="shared" si="1"/>
        <v/>
      </c>
      <c r="C539" s="25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6"/>
      <c r="B540" s="16" t="str">
        <f t="shared" si="1"/>
        <v/>
      </c>
      <c r="C540" s="24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9"/>
      <c r="B541" s="19" t="str">
        <f t="shared" si="1"/>
        <v/>
      </c>
      <c r="C541" s="25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6"/>
      <c r="B542" s="16" t="str">
        <f t="shared" si="1"/>
        <v/>
      </c>
      <c r="C542" s="24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9"/>
      <c r="B543" s="19" t="str">
        <f t="shared" si="1"/>
        <v/>
      </c>
      <c r="C543" s="25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6"/>
      <c r="B544" s="16" t="str">
        <f t="shared" si="1"/>
        <v/>
      </c>
      <c r="C544" s="24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9"/>
      <c r="B545" s="19" t="str">
        <f t="shared" si="1"/>
        <v/>
      </c>
      <c r="C545" s="25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6"/>
      <c r="B546" s="16" t="str">
        <f t="shared" si="1"/>
        <v/>
      </c>
      <c r="C546" s="24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9"/>
      <c r="B547" s="19" t="str">
        <f t="shared" si="1"/>
        <v/>
      </c>
      <c r="C547" s="25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6"/>
      <c r="B548" s="16" t="str">
        <f t="shared" si="1"/>
        <v/>
      </c>
      <c r="C548" s="24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9"/>
      <c r="B549" s="19" t="str">
        <f t="shared" si="1"/>
        <v/>
      </c>
      <c r="C549" s="25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6"/>
      <c r="B550" s="16" t="str">
        <f t="shared" si="1"/>
        <v/>
      </c>
      <c r="C550" s="24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9"/>
      <c r="B551" s="19" t="str">
        <f t="shared" si="1"/>
        <v/>
      </c>
      <c r="C551" s="25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6"/>
      <c r="B552" s="16" t="str">
        <f t="shared" si="1"/>
        <v/>
      </c>
      <c r="C552" s="24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9"/>
      <c r="B553" s="19" t="str">
        <f t="shared" si="1"/>
        <v/>
      </c>
      <c r="C553" s="25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6"/>
      <c r="B554" s="16" t="str">
        <f t="shared" si="1"/>
        <v/>
      </c>
      <c r="C554" s="24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9"/>
      <c r="B555" s="19" t="str">
        <f t="shared" si="1"/>
        <v/>
      </c>
      <c r="C555" s="25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6"/>
      <c r="B556" s="16" t="str">
        <f t="shared" si="1"/>
        <v/>
      </c>
      <c r="C556" s="24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9"/>
      <c r="B557" s="19" t="str">
        <f t="shared" si="1"/>
        <v/>
      </c>
      <c r="C557" s="25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6"/>
      <c r="B558" s="16" t="str">
        <f t="shared" si="1"/>
        <v/>
      </c>
      <c r="C558" s="24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9"/>
      <c r="B559" s="19" t="str">
        <f t="shared" si="1"/>
        <v/>
      </c>
      <c r="C559" s="25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6"/>
      <c r="B560" s="16" t="str">
        <f t="shared" si="1"/>
        <v/>
      </c>
      <c r="C560" s="24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9"/>
      <c r="B561" s="19" t="str">
        <f t="shared" si="1"/>
        <v/>
      </c>
      <c r="C561" s="25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6"/>
      <c r="B562" s="16" t="str">
        <f t="shared" si="1"/>
        <v/>
      </c>
      <c r="C562" s="24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9"/>
      <c r="B563" s="19" t="str">
        <f t="shared" si="1"/>
        <v/>
      </c>
      <c r="C563" s="25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6"/>
      <c r="B564" s="16" t="str">
        <f t="shared" si="1"/>
        <v/>
      </c>
      <c r="C564" s="24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9"/>
      <c r="B565" s="19" t="str">
        <f t="shared" si="1"/>
        <v/>
      </c>
      <c r="C565" s="25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6"/>
      <c r="B566" s="16" t="str">
        <f t="shared" si="1"/>
        <v/>
      </c>
      <c r="C566" s="24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9"/>
      <c r="B567" s="19" t="str">
        <f t="shared" si="1"/>
        <v/>
      </c>
      <c r="C567" s="25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6"/>
      <c r="B568" s="16" t="str">
        <f t="shared" si="1"/>
        <v/>
      </c>
      <c r="C568" s="24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9"/>
      <c r="B569" s="19" t="str">
        <f t="shared" si="1"/>
        <v/>
      </c>
      <c r="C569" s="25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6"/>
      <c r="B570" s="16" t="str">
        <f t="shared" si="1"/>
        <v/>
      </c>
      <c r="C570" s="24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9"/>
      <c r="B571" s="19" t="str">
        <f t="shared" si="1"/>
        <v/>
      </c>
      <c r="C571" s="25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6"/>
      <c r="B572" s="16" t="str">
        <f t="shared" si="1"/>
        <v/>
      </c>
      <c r="C572" s="24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9"/>
      <c r="B573" s="19" t="str">
        <f t="shared" si="1"/>
        <v/>
      </c>
      <c r="C573" s="25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6"/>
      <c r="B574" s="16" t="str">
        <f t="shared" si="1"/>
        <v/>
      </c>
      <c r="C574" s="24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9"/>
      <c r="B575" s="19" t="str">
        <f t="shared" si="1"/>
        <v/>
      </c>
      <c r="C575" s="25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6"/>
      <c r="B576" s="16" t="str">
        <f t="shared" si="1"/>
        <v/>
      </c>
      <c r="C576" s="24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9"/>
      <c r="B577" s="19" t="str">
        <f t="shared" si="1"/>
        <v/>
      </c>
      <c r="C577" s="25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6"/>
      <c r="B578" s="16" t="str">
        <f t="shared" si="1"/>
        <v/>
      </c>
      <c r="C578" s="24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9"/>
      <c r="B579" s="19" t="str">
        <f t="shared" si="1"/>
        <v/>
      </c>
      <c r="C579" s="25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6"/>
      <c r="B580" s="16" t="str">
        <f t="shared" si="1"/>
        <v/>
      </c>
      <c r="C580" s="24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9"/>
      <c r="B581" s="19" t="str">
        <f t="shared" si="1"/>
        <v/>
      </c>
      <c r="C581" s="25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6"/>
      <c r="B582" s="16" t="str">
        <f t="shared" si="1"/>
        <v/>
      </c>
      <c r="C582" s="24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9"/>
      <c r="B583" s="19" t="str">
        <f t="shared" si="1"/>
        <v/>
      </c>
      <c r="C583" s="25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6"/>
      <c r="B584" s="16" t="str">
        <f t="shared" si="1"/>
        <v/>
      </c>
      <c r="C584" s="24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9"/>
      <c r="B585" s="19" t="str">
        <f t="shared" si="1"/>
        <v/>
      </c>
      <c r="C585" s="25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6"/>
      <c r="B586" s="16" t="str">
        <f t="shared" si="1"/>
        <v/>
      </c>
      <c r="C586" s="24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9"/>
      <c r="B587" s="19" t="str">
        <f t="shared" si="1"/>
        <v/>
      </c>
      <c r="C587" s="25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6"/>
      <c r="B588" s="16" t="str">
        <f t="shared" si="1"/>
        <v/>
      </c>
      <c r="C588" s="24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9"/>
      <c r="B589" s="19" t="str">
        <f t="shared" si="1"/>
        <v/>
      </c>
      <c r="C589" s="25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6"/>
      <c r="B590" s="16" t="str">
        <f t="shared" si="1"/>
        <v/>
      </c>
      <c r="C590" s="24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9"/>
      <c r="B591" s="19" t="str">
        <f t="shared" si="1"/>
        <v/>
      </c>
      <c r="C591" s="25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6"/>
      <c r="B592" s="16" t="str">
        <f t="shared" si="1"/>
        <v/>
      </c>
      <c r="C592" s="24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9"/>
      <c r="B593" s="19" t="str">
        <f t="shared" si="1"/>
        <v/>
      </c>
      <c r="C593" s="25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6"/>
      <c r="B594" s="16" t="str">
        <f t="shared" si="1"/>
        <v/>
      </c>
      <c r="C594" s="24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9"/>
      <c r="B595" s="19" t="str">
        <f t="shared" si="1"/>
        <v/>
      </c>
      <c r="C595" s="25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6"/>
      <c r="B596" s="16" t="str">
        <f t="shared" si="1"/>
        <v/>
      </c>
      <c r="C596" s="24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9"/>
      <c r="B597" s="19" t="str">
        <f t="shared" si="1"/>
        <v/>
      </c>
      <c r="C597" s="25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6"/>
      <c r="B598" s="16" t="str">
        <f t="shared" si="1"/>
        <v/>
      </c>
      <c r="C598" s="24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9"/>
      <c r="B599" s="19" t="str">
        <f t="shared" si="1"/>
        <v/>
      </c>
      <c r="C599" s="25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6"/>
      <c r="B600" s="16" t="str">
        <f t="shared" si="1"/>
        <v/>
      </c>
      <c r="C600" s="24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9"/>
      <c r="B601" s="19" t="str">
        <f t="shared" si="1"/>
        <v/>
      </c>
      <c r="C601" s="25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6"/>
      <c r="B602" s="16" t="str">
        <f t="shared" si="1"/>
        <v/>
      </c>
      <c r="C602" s="24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9"/>
      <c r="B603" s="19" t="str">
        <f t="shared" si="1"/>
        <v/>
      </c>
      <c r="C603" s="25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6"/>
      <c r="B604" s="16" t="str">
        <f t="shared" si="1"/>
        <v/>
      </c>
      <c r="C604" s="24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9"/>
      <c r="B605" s="19" t="str">
        <f t="shared" si="1"/>
        <v/>
      </c>
      <c r="C605" s="25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6"/>
      <c r="B606" s="16" t="str">
        <f t="shared" si="1"/>
        <v/>
      </c>
      <c r="C606" s="24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9"/>
      <c r="B607" s="19" t="str">
        <f t="shared" si="1"/>
        <v/>
      </c>
      <c r="C607" s="25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6"/>
      <c r="B608" s="16" t="str">
        <f t="shared" si="1"/>
        <v/>
      </c>
      <c r="C608" s="24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9"/>
      <c r="B609" s="19" t="str">
        <f t="shared" si="1"/>
        <v/>
      </c>
      <c r="C609" s="25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6"/>
      <c r="B610" s="16" t="str">
        <f t="shared" si="1"/>
        <v/>
      </c>
      <c r="C610" s="24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9"/>
      <c r="B611" s="19" t="str">
        <f t="shared" si="1"/>
        <v/>
      </c>
      <c r="C611" s="25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6"/>
      <c r="B612" s="16" t="str">
        <f t="shared" si="1"/>
        <v/>
      </c>
      <c r="C612" s="24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9"/>
      <c r="B613" s="19" t="str">
        <f t="shared" si="1"/>
        <v/>
      </c>
      <c r="C613" s="25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6"/>
      <c r="B614" s="16" t="str">
        <f t="shared" si="1"/>
        <v/>
      </c>
      <c r="C614" s="24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9"/>
      <c r="B615" s="19" t="str">
        <f t="shared" si="1"/>
        <v/>
      </c>
      <c r="C615" s="25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6"/>
      <c r="B616" s="16" t="str">
        <f t="shared" si="1"/>
        <v/>
      </c>
      <c r="C616" s="24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9"/>
      <c r="B617" s="19" t="str">
        <f t="shared" si="1"/>
        <v/>
      </c>
      <c r="C617" s="25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6"/>
      <c r="B618" s="16" t="str">
        <f t="shared" si="1"/>
        <v/>
      </c>
      <c r="C618" s="24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9"/>
      <c r="B619" s="19" t="str">
        <f t="shared" si="1"/>
        <v/>
      </c>
      <c r="C619" s="25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6"/>
      <c r="B620" s="16" t="str">
        <f t="shared" si="1"/>
        <v/>
      </c>
      <c r="C620" s="24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9"/>
      <c r="B621" s="19" t="str">
        <f t="shared" si="1"/>
        <v/>
      </c>
      <c r="C621" s="25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6"/>
      <c r="B622" s="16" t="str">
        <f t="shared" si="1"/>
        <v/>
      </c>
      <c r="C622" s="24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9"/>
      <c r="B623" s="19" t="str">
        <f t="shared" si="1"/>
        <v/>
      </c>
      <c r="C623" s="25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6"/>
      <c r="B624" s="16" t="str">
        <f t="shared" si="1"/>
        <v/>
      </c>
      <c r="C624" s="24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9"/>
      <c r="B625" s="19" t="str">
        <f t="shared" si="1"/>
        <v/>
      </c>
      <c r="C625" s="25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6"/>
      <c r="B626" s="16" t="str">
        <f t="shared" si="1"/>
        <v/>
      </c>
      <c r="C626" s="24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9"/>
      <c r="B627" s="19" t="str">
        <f t="shared" si="1"/>
        <v/>
      </c>
      <c r="C627" s="25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6"/>
      <c r="B628" s="16" t="str">
        <f t="shared" si="1"/>
        <v/>
      </c>
      <c r="C628" s="24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9"/>
      <c r="B629" s="19" t="str">
        <f t="shared" si="1"/>
        <v/>
      </c>
      <c r="C629" s="25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6"/>
      <c r="B630" s="16" t="str">
        <f t="shared" si="1"/>
        <v/>
      </c>
      <c r="C630" s="24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9"/>
      <c r="B631" s="19" t="str">
        <f t="shared" si="1"/>
        <v/>
      </c>
      <c r="C631" s="25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6"/>
      <c r="B632" s="16" t="str">
        <f t="shared" si="1"/>
        <v/>
      </c>
      <c r="C632" s="24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9"/>
      <c r="B633" s="19" t="str">
        <f t="shared" si="1"/>
        <v/>
      </c>
      <c r="C633" s="25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6"/>
      <c r="B634" s="16" t="str">
        <f t="shared" si="1"/>
        <v/>
      </c>
      <c r="C634" s="24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9"/>
      <c r="B635" s="19" t="str">
        <f t="shared" si="1"/>
        <v/>
      </c>
      <c r="C635" s="25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6"/>
      <c r="B636" s="16" t="str">
        <f t="shared" si="1"/>
        <v/>
      </c>
      <c r="C636" s="24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9"/>
      <c r="B637" s="19" t="str">
        <f t="shared" si="1"/>
        <v/>
      </c>
      <c r="C637" s="25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6"/>
      <c r="B638" s="16" t="str">
        <f t="shared" si="1"/>
        <v/>
      </c>
      <c r="C638" s="24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9"/>
      <c r="B639" s="19" t="str">
        <f t="shared" si="1"/>
        <v/>
      </c>
      <c r="C639" s="25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6"/>
      <c r="B640" s="16" t="str">
        <f t="shared" si="1"/>
        <v/>
      </c>
      <c r="C640" s="24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9"/>
      <c r="B641" s="19" t="str">
        <f t="shared" si="1"/>
        <v/>
      </c>
      <c r="C641" s="25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6"/>
      <c r="B642" s="16" t="str">
        <f t="shared" si="1"/>
        <v/>
      </c>
      <c r="C642" s="24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9"/>
      <c r="B643" s="19" t="str">
        <f t="shared" si="1"/>
        <v/>
      </c>
      <c r="C643" s="25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6"/>
      <c r="B644" s="16" t="str">
        <f t="shared" si="1"/>
        <v/>
      </c>
      <c r="C644" s="24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9"/>
      <c r="B645" s="19" t="str">
        <f t="shared" si="1"/>
        <v/>
      </c>
      <c r="C645" s="25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6"/>
      <c r="B646" s="16" t="str">
        <f t="shared" si="1"/>
        <v/>
      </c>
      <c r="C646" s="24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9"/>
      <c r="B647" s="19" t="str">
        <f t="shared" si="1"/>
        <v/>
      </c>
      <c r="C647" s="25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6"/>
      <c r="B648" s="16" t="str">
        <f t="shared" si="1"/>
        <v/>
      </c>
      <c r="C648" s="24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9"/>
      <c r="B649" s="19" t="str">
        <f t="shared" si="1"/>
        <v/>
      </c>
      <c r="C649" s="25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6"/>
      <c r="B650" s="16" t="str">
        <f t="shared" si="1"/>
        <v/>
      </c>
      <c r="C650" s="24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9"/>
      <c r="B651" s="19" t="str">
        <f t="shared" si="1"/>
        <v/>
      </c>
      <c r="C651" s="25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6"/>
      <c r="B652" s="16" t="str">
        <f t="shared" si="1"/>
        <v/>
      </c>
      <c r="C652" s="24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9"/>
      <c r="B653" s="19" t="str">
        <f t="shared" si="1"/>
        <v/>
      </c>
      <c r="C653" s="25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6"/>
      <c r="B654" s="16" t="str">
        <f t="shared" si="1"/>
        <v/>
      </c>
      <c r="C654" s="24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9"/>
      <c r="B655" s="19" t="str">
        <f t="shared" si="1"/>
        <v/>
      </c>
      <c r="C655" s="25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6"/>
      <c r="B656" s="16" t="str">
        <f t="shared" si="1"/>
        <v/>
      </c>
      <c r="C656" s="24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9"/>
      <c r="B657" s="19" t="str">
        <f t="shared" si="1"/>
        <v/>
      </c>
      <c r="C657" s="25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6"/>
      <c r="B658" s="16" t="str">
        <f t="shared" si="1"/>
        <v/>
      </c>
      <c r="C658" s="24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9"/>
      <c r="B659" s="19" t="str">
        <f t="shared" si="1"/>
        <v/>
      </c>
      <c r="C659" s="25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6"/>
      <c r="B660" s="16" t="str">
        <f t="shared" si="1"/>
        <v/>
      </c>
      <c r="C660" s="24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9"/>
      <c r="B661" s="19" t="str">
        <f t="shared" si="1"/>
        <v/>
      </c>
      <c r="C661" s="25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6"/>
      <c r="B662" s="16" t="str">
        <f t="shared" si="1"/>
        <v/>
      </c>
      <c r="C662" s="24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9"/>
      <c r="B663" s="19" t="str">
        <f t="shared" si="1"/>
        <v/>
      </c>
      <c r="C663" s="25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6"/>
      <c r="B664" s="16" t="str">
        <f t="shared" si="1"/>
        <v/>
      </c>
      <c r="C664" s="24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9"/>
      <c r="B665" s="19" t="str">
        <f t="shared" si="1"/>
        <v/>
      </c>
      <c r="C665" s="25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6"/>
      <c r="B666" s="16" t="str">
        <f t="shared" si="1"/>
        <v/>
      </c>
      <c r="C666" s="24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9"/>
      <c r="B667" s="19" t="str">
        <f t="shared" si="1"/>
        <v/>
      </c>
      <c r="C667" s="25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6"/>
      <c r="B668" s="16" t="str">
        <f t="shared" si="1"/>
        <v/>
      </c>
      <c r="C668" s="24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9"/>
      <c r="B669" s="19" t="str">
        <f t="shared" si="1"/>
        <v/>
      </c>
      <c r="C669" s="25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6"/>
      <c r="B670" s="16" t="str">
        <f t="shared" si="1"/>
        <v/>
      </c>
      <c r="C670" s="24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9"/>
      <c r="B671" s="19" t="str">
        <f t="shared" si="1"/>
        <v/>
      </c>
      <c r="C671" s="25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6"/>
      <c r="B672" s="16" t="str">
        <f t="shared" si="1"/>
        <v/>
      </c>
      <c r="C672" s="24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9"/>
      <c r="B673" s="19" t="str">
        <f t="shared" si="1"/>
        <v/>
      </c>
      <c r="C673" s="25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6"/>
      <c r="B674" s="16" t="str">
        <f t="shared" si="1"/>
        <v/>
      </c>
      <c r="C674" s="24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9"/>
      <c r="B675" s="19" t="str">
        <f t="shared" si="1"/>
        <v/>
      </c>
      <c r="C675" s="25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6"/>
      <c r="B676" s="16" t="str">
        <f t="shared" si="1"/>
        <v/>
      </c>
      <c r="C676" s="24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9"/>
      <c r="B677" s="19" t="str">
        <f t="shared" si="1"/>
        <v/>
      </c>
      <c r="C677" s="25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6"/>
      <c r="B678" s="16" t="str">
        <f t="shared" si="1"/>
        <v/>
      </c>
      <c r="C678" s="24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9"/>
      <c r="B679" s="19" t="str">
        <f t="shared" si="1"/>
        <v/>
      </c>
      <c r="C679" s="25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6"/>
      <c r="B680" s="16" t="str">
        <f t="shared" si="1"/>
        <v/>
      </c>
      <c r="C680" s="24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9"/>
      <c r="B681" s="19" t="str">
        <f t="shared" si="1"/>
        <v/>
      </c>
      <c r="C681" s="25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6"/>
      <c r="B682" s="16" t="str">
        <f t="shared" si="1"/>
        <v/>
      </c>
      <c r="C682" s="24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9"/>
      <c r="B683" s="19" t="str">
        <f t="shared" si="1"/>
        <v/>
      </c>
      <c r="C683" s="25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6"/>
      <c r="B684" s="16" t="str">
        <f t="shared" si="1"/>
        <v/>
      </c>
      <c r="C684" s="24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9"/>
      <c r="B685" s="19" t="str">
        <f t="shared" si="1"/>
        <v/>
      </c>
      <c r="C685" s="25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6"/>
      <c r="B686" s="16" t="str">
        <f t="shared" si="1"/>
        <v/>
      </c>
      <c r="C686" s="24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9"/>
      <c r="B687" s="19" t="str">
        <f t="shared" si="1"/>
        <v/>
      </c>
      <c r="C687" s="25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6"/>
      <c r="B688" s="16" t="str">
        <f t="shared" si="1"/>
        <v/>
      </c>
      <c r="C688" s="24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9"/>
      <c r="B689" s="19" t="str">
        <f t="shared" si="1"/>
        <v/>
      </c>
      <c r="C689" s="25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6"/>
      <c r="B690" s="16" t="str">
        <f t="shared" si="1"/>
        <v/>
      </c>
      <c r="C690" s="24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9"/>
      <c r="B691" s="19" t="str">
        <f t="shared" si="1"/>
        <v/>
      </c>
      <c r="C691" s="25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6"/>
      <c r="B692" s="16" t="str">
        <f t="shared" si="1"/>
        <v/>
      </c>
      <c r="C692" s="24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9"/>
      <c r="B693" s="19" t="str">
        <f t="shared" si="1"/>
        <v/>
      </c>
      <c r="C693" s="25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6"/>
      <c r="B694" s="16" t="str">
        <f t="shared" si="1"/>
        <v/>
      </c>
      <c r="C694" s="24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9"/>
      <c r="B695" s="19" t="str">
        <f t="shared" si="1"/>
        <v/>
      </c>
      <c r="C695" s="25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6"/>
      <c r="B696" s="16" t="str">
        <f t="shared" si="1"/>
        <v/>
      </c>
      <c r="C696" s="24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9"/>
      <c r="B697" s="19" t="str">
        <f t="shared" si="1"/>
        <v/>
      </c>
      <c r="C697" s="25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6"/>
      <c r="B698" s="16" t="str">
        <f t="shared" si="1"/>
        <v/>
      </c>
      <c r="C698" s="24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9"/>
      <c r="B699" s="19" t="str">
        <f t="shared" si="1"/>
        <v/>
      </c>
      <c r="C699" s="25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6"/>
      <c r="B700" s="16" t="str">
        <f t="shared" si="1"/>
        <v/>
      </c>
      <c r="C700" s="24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9"/>
      <c r="B701" s="19" t="str">
        <f t="shared" si="1"/>
        <v/>
      </c>
      <c r="C701" s="25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6"/>
      <c r="B702" s="16" t="str">
        <f t="shared" si="1"/>
        <v/>
      </c>
      <c r="C702" s="24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9"/>
      <c r="B703" s="19" t="str">
        <f t="shared" si="1"/>
        <v/>
      </c>
      <c r="C703" s="25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6"/>
      <c r="B704" s="16" t="str">
        <f t="shared" si="1"/>
        <v/>
      </c>
      <c r="C704" s="24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9"/>
      <c r="B705" s="19" t="str">
        <f t="shared" si="1"/>
        <v/>
      </c>
      <c r="C705" s="25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6"/>
      <c r="B706" s="16" t="str">
        <f t="shared" si="1"/>
        <v/>
      </c>
      <c r="C706" s="24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9"/>
      <c r="B707" s="19" t="str">
        <f t="shared" si="1"/>
        <v/>
      </c>
      <c r="C707" s="25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6"/>
      <c r="B708" s="16" t="str">
        <f t="shared" si="1"/>
        <v/>
      </c>
      <c r="C708" s="24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9"/>
      <c r="B709" s="19" t="str">
        <f t="shared" si="1"/>
        <v/>
      </c>
      <c r="C709" s="25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6"/>
      <c r="B710" s="16" t="str">
        <f t="shared" si="1"/>
        <v/>
      </c>
      <c r="C710" s="24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9"/>
      <c r="B711" s="19" t="str">
        <f t="shared" si="1"/>
        <v/>
      </c>
      <c r="C711" s="25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6"/>
      <c r="B712" s="16" t="str">
        <f t="shared" si="1"/>
        <v/>
      </c>
      <c r="C712" s="24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9"/>
      <c r="B713" s="19" t="str">
        <f t="shared" si="1"/>
        <v/>
      </c>
      <c r="C713" s="25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6"/>
      <c r="B714" s="16" t="str">
        <f t="shared" si="1"/>
        <v/>
      </c>
      <c r="C714" s="24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9"/>
      <c r="B715" s="19" t="str">
        <f t="shared" si="1"/>
        <v/>
      </c>
      <c r="C715" s="25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6"/>
      <c r="B716" s="16" t="str">
        <f t="shared" si="1"/>
        <v/>
      </c>
      <c r="C716" s="24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9"/>
      <c r="B717" s="19" t="str">
        <f t="shared" si="1"/>
        <v/>
      </c>
      <c r="C717" s="25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6"/>
      <c r="B718" s="16" t="str">
        <f t="shared" si="1"/>
        <v/>
      </c>
      <c r="C718" s="24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9"/>
      <c r="B719" s="19" t="str">
        <f t="shared" si="1"/>
        <v/>
      </c>
      <c r="C719" s="25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6"/>
      <c r="B720" s="16" t="str">
        <f t="shared" si="1"/>
        <v/>
      </c>
      <c r="C720" s="24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9"/>
      <c r="B721" s="19" t="str">
        <f t="shared" si="1"/>
        <v/>
      </c>
      <c r="C721" s="25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6"/>
      <c r="B722" s="16" t="str">
        <f t="shared" si="1"/>
        <v/>
      </c>
      <c r="C722" s="24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9"/>
      <c r="B723" s="19" t="str">
        <f t="shared" si="1"/>
        <v/>
      </c>
      <c r="C723" s="25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6"/>
      <c r="B724" s="16" t="str">
        <f t="shared" si="1"/>
        <v/>
      </c>
      <c r="C724" s="24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9"/>
      <c r="B725" s="19" t="str">
        <f t="shared" si="1"/>
        <v/>
      </c>
      <c r="C725" s="25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6"/>
      <c r="B726" s="16" t="str">
        <f t="shared" si="1"/>
        <v/>
      </c>
      <c r="C726" s="24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9"/>
      <c r="B727" s="19" t="str">
        <f t="shared" si="1"/>
        <v/>
      </c>
      <c r="C727" s="25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6"/>
      <c r="B728" s="16" t="str">
        <f t="shared" si="1"/>
        <v/>
      </c>
      <c r="C728" s="24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9"/>
      <c r="B729" s="19" t="str">
        <f t="shared" si="1"/>
        <v/>
      </c>
      <c r="C729" s="25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6"/>
      <c r="B730" s="16" t="str">
        <f t="shared" si="1"/>
        <v/>
      </c>
      <c r="C730" s="24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9"/>
      <c r="B731" s="19" t="str">
        <f t="shared" si="1"/>
        <v/>
      </c>
      <c r="C731" s="25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6"/>
      <c r="B732" s="16" t="str">
        <f t="shared" si="1"/>
        <v/>
      </c>
      <c r="C732" s="24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9"/>
      <c r="B733" s="19" t="str">
        <f t="shared" si="1"/>
        <v/>
      </c>
      <c r="C733" s="25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6"/>
      <c r="B734" s="16" t="str">
        <f t="shared" si="1"/>
        <v/>
      </c>
      <c r="C734" s="24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9"/>
      <c r="B735" s="19" t="str">
        <f t="shared" si="1"/>
        <v/>
      </c>
      <c r="C735" s="25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6"/>
      <c r="B736" s="16" t="str">
        <f t="shared" si="1"/>
        <v/>
      </c>
      <c r="C736" s="24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9"/>
      <c r="B737" s="19" t="str">
        <f t="shared" si="1"/>
        <v/>
      </c>
      <c r="C737" s="25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6"/>
      <c r="B738" s="16" t="str">
        <f t="shared" si="1"/>
        <v/>
      </c>
      <c r="C738" s="24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9"/>
      <c r="B739" s="19" t="str">
        <f t="shared" si="1"/>
        <v/>
      </c>
      <c r="C739" s="25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6"/>
      <c r="B740" s="16" t="str">
        <f t="shared" si="1"/>
        <v/>
      </c>
      <c r="C740" s="24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9"/>
      <c r="B741" s="19" t="str">
        <f t="shared" si="1"/>
        <v/>
      </c>
      <c r="C741" s="25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6"/>
      <c r="B742" s="16" t="str">
        <f t="shared" si="1"/>
        <v/>
      </c>
      <c r="C742" s="24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9"/>
      <c r="B743" s="19" t="str">
        <f t="shared" si="1"/>
        <v/>
      </c>
      <c r="C743" s="25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6"/>
      <c r="B744" s="16" t="str">
        <f t="shared" si="1"/>
        <v/>
      </c>
      <c r="C744" s="24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9"/>
      <c r="B745" s="19" t="str">
        <f t="shared" si="1"/>
        <v/>
      </c>
      <c r="C745" s="25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6"/>
      <c r="B746" s="16" t="str">
        <f t="shared" si="1"/>
        <v/>
      </c>
      <c r="C746" s="24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9"/>
      <c r="B747" s="19" t="str">
        <f t="shared" si="1"/>
        <v/>
      </c>
      <c r="C747" s="25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6"/>
      <c r="B748" s="16" t="str">
        <f t="shared" si="1"/>
        <v/>
      </c>
      <c r="C748" s="24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9"/>
      <c r="B749" s="19" t="str">
        <f t="shared" si="1"/>
        <v/>
      </c>
      <c r="C749" s="25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6"/>
      <c r="B750" s="16" t="str">
        <f t="shared" si="1"/>
        <v/>
      </c>
      <c r="C750" s="24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9"/>
      <c r="B751" s="19" t="str">
        <f t="shared" si="1"/>
        <v/>
      </c>
      <c r="C751" s="25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6"/>
      <c r="B752" s="16" t="str">
        <f t="shared" si="1"/>
        <v/>
      </c>
      <c r="C752" s="24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9"/>
      <c r="B753" s="19" t="str">
        <f t="shared" si="1"/>
        <v/>
      </c>
      <c r="C753" s="25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6"/>
      <c r="B754" s="16" t="str">
        <f t="shared" si="1"/>
        <v/>
      </c>
      <c r="C754" s="24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9"/>
      <c r="B755" s="19" t="str">
        <f t="shared" si="1"/>
        <v/>
      </c>
      <c r="C755" s="25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6"/>
      <c r="B756" s="16" t="str">
        <f t="shared" si="1"/>
        <v/>
      </c>
      <c r="C756" s="24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9"/>
      <c r="B757" s="19" t="str">
        <f t="shared" si="1"/>
        <v/>
      </c>
      <c r="C757" s="25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6"/>
      <c r="B758" s="16" t="str">
        <f t="shared" si="1"/>
        <v/>
      </c>
      <c r="C758" s="24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9"/>
      <c r="B759" s="19" t="str">
        <f t="shared" si="1"/>
        <v/>
      </c>
      <c r="C759" s="25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6"/>
      <c r="B760" s="16" t="str">
        <f t="shared" si="1"/>
        <v/>
      </c>
      <c r="C760" s="24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9"/>
      <c r="B761" s="19" t="str">
        <f t="shared" si="1"/>
        <v/>
      </c>
      <c r="C761" s="25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6"/>
      <c r="B762" s="16" t="str">
        <f t="shared" si="1"/>
        <v/>
      </c>
      <c r="C762" s="24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9"/>
      <c r="B763" s="19" t="str">
        <f t="shared" si="1"/>
        <v/>
      </c>
      <c r="C763" s="25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6"/>
      <c r="B764" s="16" t="str">
        <f t="shared" si="1"/>
        <v/>
      </c>
      <c r="C764" s="24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9"/>
      <c r="B765" s="19" t="str">
        <f t="shared" si="1"/>
        <v/>
      </c>
      <c r="C765" s="25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6"/>
      <c r="B766" s="16" t="str">
        <f t="shared" si="1"/>
        <v/>
      </c>
      <c r="C766" s="24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9"/>
      <c r="B767" s="19" t="str">
        <f t="shared" si="1"/>
        <v/>
      </c>
      <c r="C767" s="25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6"/>
      <c r="B768" s="16" t="str">
        <f t="shared" si="1"/>
        <v/>
      </c>
      <c r="C768" s="24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9"/>
      <c r="B769" s="19" t="str">
        <f t="shared" si="1"/>
        <v/>
      </c>
      <c r="C769" s="25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6"/>
      <c r="B770" s="16" t="str">
        <f t="shared" si="1"/>
        <v/>
      </c>
      <c r="C770" s="24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9"/>
      <c r="B771" s="19" t="str">
        <f t="shared" si="1"/>
        <v/>
      </c>
      <c r="C771" s="25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6"/>
      <c r="B772" s="16" t="str">
        <f t="shared" si="1"/>
        <v/>
      </c>
      <c r="C772" s="24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9"/>
      <c r="B773" s="19" t="str">
        <f t="shared" si="1"/>
        <v/>
      </c>
      <c r="C773" s="25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6"/>
      <c r="B774" s="16" t="str">
        <f t="shared" si="1"/>
        <v/>
      </c>
      <c r="C774" s="24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9"/>
      <c r="B775" s="19" t="str">
        <f t="shared" si="1"/>
        <v/>
      </c>
      <c r="C775" s="25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6"/>
      <c r="B776" s="16" t="str">
        <f t="shared" si="1"/>
        <v/>
      </c>
      <c r="C776" s="24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9"/>
      <c r="B777" s="19" t="str">
        <f t="shared" si="1"/>
        <v/>
      </c>
      <c r="C777" s="25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6"/>
      <c r="B778" s="16" t="str">
        <f t="shared" si="1"/>
        <v/>
      </c>
      <c r="C778" s="24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9"/>
      <c r="B779" s="19" t="str">
        <f t="shared" si="1"/>
        <v/>
      </c>
      <c r="C779" s="25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6"/>
      <c r="B780" s="16" t="str">
        <f t="shared" si="1"/>
        <v/>
      </c>
      <c r="C780" s="24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9"/>
      <c r="B781" s="19" t="str">
        <f t="shared" si="1"/>
        <v/>
      </c>
      <c r="C781" s="25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6"/>
      <c r="B782" s="16" t="str">
        <f t="shared" si="1"/>
        <v/>
      </c>
      <c r="C782" s="24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9"/>
      <c r="B783" s="19" t="str">
        <f t="shared" si="1"/>
        <v/>
      </c>
      <c r="C783" s="25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6"/>
      <c r="B784" s="16" t="str">
        <f t="shared" si="1"/>
        <v/>
      </c>
      <c r="C784" s="24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9"/>
      <c r="B785" s="19" t="str">
        <f t="shared" si="1"/>
        <v/>
      </c>
      <c r="C785" s="25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6"/>
      <c r="B786" s="16" t="str">
        <f t="shared" si="1"/>
        <v/>
      </c>
      <c r="C786" s="24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9"/>
      <c r="B787" s="19" t="str">
        <f t="shared" si="1"/>
        <v/>
      </c>
      <c r="C787" s="25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6"/>
      <c r="B788" s="16" t="str">
        <f t="shared" si="1"/>
        <v/>
      </c>
      <c r="C788" s="24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9"/>
      <c r="B789" s="19" t="str">
        <f t="shared" si="1"/>
        <v/>
      </c>
      <c r="C789" s="25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6"/>
      <c r="B790" s="16" t="str">
        <f t="shared" si="1"/>
        <v/>
      </c>
      <c r="C790" s="24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9"/>
      <c r="B791" s="19" t="str">
        <f t="shared" si="1"/>
        <v/>
      </c>
      <c r="C791" s="25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6"/>
      <c r="B792" s="16" t="str">
        <f t="shared" si="1"/>
        <v/>
      </c>
      <c r="C792" s="24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9"/>
      <c r="B793" s="19" t="str">
        <f t="shared" si="1"/>
        <v/>
      </c>
      <c r="C793" s="25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6"/>
      <c r="B794" s="16" t="str">
        <f t="shared" si="1"/>
        <v/>
      </c>
      <c r="C794" s="24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9"/>
      <c r="B795" s="19" t="str">
        <f t="shared" si="1"/>
        <v/>
      </c>
      <c r="C795" s="25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6"/>
      <c r="B796" s="16" t="str">
        <f t="shared" si="1"/>
        <v/>
      </c>
      <c r="C796" s="24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9"/>
      <c r="B797" s="19" t="str">
        <f t="shared" si="1"/>
        <v/>
      </c>
      <c r="C797" s="25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6"/>
      <c r="B798" s="16" t="str">
        <f t="shared" si="1"/>
        <v/>
      </c>
      <c r="C798" s="24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9"/>
      <c r="B799" s="19" t="str">
        <f t="shared" si="1"/>
        <v/>
      </c>
      <c r="C799" s="25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6"/>
      <c r="B800" s="16" t="str">
        <f t="shared" si="1"/>
        <v/>
      </c>
      <c r="C800" s="24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9"/>
      <c r="B801" s="19" t="str">
        <f t="shared" si="1"/>
        <v/>
      </c>
      <c r="C801" s="25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6"/>
      <c r="B802" s="16" t="str">
        <f t="shared" si="1"/>
        <v/>
      </c>
      <c r="C802" s="24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9"/>
      <c r="B803" s="19" t="str">
        <f t="shared" si="1"/>
        <v/>
      </c>
      <c r="C803" s="25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6"/>
      <c r="B804" s="16" t="str">
        <f t="shared" si="1"/>
        <v/>
      </c>
      <c r="C804" s="24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9"/>
      <c r="B805" s="19" t="str">
        <f t="shared" si="1"/>
        <v/>
      </c>
      <c r="C805" s="25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6"/>
      <c r="B806" s="16" t="str">
        <f t="shared" si="1"/>
        <v/>
      </c>
      <c r="C806" s="24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9"/>
      <c r="B807" s="19" t="str">
        <f t="shared" si="1"/>
        <v/>
      </c>
      <c r="C807" s="25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6"/>
      <c r="B808" s="16" t="str">
        <f t="shared" si="1"/>
        <v/>
      </c>
      <c r="C808" s="24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9"/>
      <c r="B809" s="19" t="str">
        <f t="shared" si="1"/>
        <v/>
      </c>
      <c r="C809" s="25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6"/>
      <c r="B810" s="16" t="str">
        <f t="shared" si="1"/>
        <v/>
      </c>
      <c r="C810" s="24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9"/>
      <c r="B811" s="19" t="str">
        <f t="shared" si="1"/>
        <v/>
      </c>
      <c r="C811" s="25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6"/>
      <c r="B812" s="16" t="str">
        <f t="shared" si="1"/>
        <v/>
      </c>
      <c r="C812" s="24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9"/>
      <c r="B813" s="19" t="str">
        <f t="shared" si="1"/>
        <v/>
      </c>
      <c r="C813" s="25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6"/>
      <c r="B814" s="16" t="str">
        <f t="shared" si="1"/>
        <v/>
      </c>
      <c r="C814" s="24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9"/>
      <c r="B815" s="19" t="str">
        <f t="shared" si="1"/>
        <v/>
      </c>
      <c r="C815" s="25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6"/>
      <c r="B816" s="16" t="str">
        <f t="shared" si="1"/>
        <v/>
      </c>
      <c r="C816" s="24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9"/>
      <c r="B817" s="19" t="str">
        <f t="shared" si="1"/>
        <v/>
      </c>
      <c r="C817" s="25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6"/>
      <c r="B818" s="16" t="str">
        <f t="shared" si="1"/>
        <v/>
      </c>
      <c r="C818" s="24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9"/>
      <c r="B819" s="19" t="str">
        <f t="shared" si="1"/>
        <v/>
      </c>
      <c r="C819" s="25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6"/>
      <c r="B820" s="16" t="str">
        <f t="shared" si="1"/>
        <v/>
      </c>
      <c r="C820" s="24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9"/>
      <c r="B821" s="19" t="str">
        <f t="shared" si="1"/>
        <v/>
      </c>
      <c r="C821" s="25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6"/>
      <c r="B822" s="16" t="str">
        <f t="shared" si="1"/>
        <v/>
      </c>
      <c r="C822" s="24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9"/>
      <c r="B823" s="19" t="str">
        <f t="shared" si="1"/>
        <v/>
      </c>
      <c r="C823" s="25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6"/>
      <c r="B824" s="16" t="str">
        <f t="shared" si="1"/>
        <v/>
      </c>
      <c r="C824" s="24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9"/>
      <c r="B825" s="19" t="str">
        <f t="shared" si="1"/>
        <v/>
      </c>
      <c r="C825" s="25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6"/>
      <c r="B826" s="16" t="str">
        <f t="shared" si="1"/>
        <v/>
      </c>
      <c r="C826" s="24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9"/>
      <c r="B827" s="19" t="str">
        <f t="shared" si="1"/>
        <v/>
      </c>
      <c r="C827" s="25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6"/>
      <c r="B828" s="16" t="str">
        <f t="shared" si="1"/>
        <v/>
      </c>
      <c r="C828" s="24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9"/>
      <c r="B829" s="19" t="str">
        <f t="shared" si="1"/>
        <v/>
      </c>
      <c r="C829" s="25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6"/>
      <c r="B830" s="16" t="str">
        <f t="shared" si="1"/>
        <v/>
      </c>
      <c r="C830" s="24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9"/>
      <c r="B831" s="19" t="str">
        <f t="shared" si="1"/>
        <v/>
      </c>
      <c r="C831" s="25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6"/>
      <c r="B832" s="16" t="str">
        <f t="shared" si="1"/>
        <v/>
      </c>
      <c r="C832" s="24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9"/>
      <c r="B833" s="19" t="str">
        <f t="shared" si="1"/>
        <v/>
      </c>
      <c r="C833" s="25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6"/>
      <c r="B834" s="16" t="str">
        <f t="shared" si="1"/>
        <v/>
      </c>
      <c r="C834" s="24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9"/>
      <c r="B835" s="19" t="str">
        <f t="shared" si="1"/>
        <v/>
      </c>
      <c r="C835" s="25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6"/>
      <c r="B836" s="16" t="str">
        <f t="shared" si="1"/>
        <v/>
      </c>
      <c r="C836" s="24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9"/>
      <c r="B837" s="19" t="str">
        <f t="shared" si="1"/>
        <v/>
      </c>
      <c r="C837" s="25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6"/>
      <c r="B838" s="16" t="str">
        <f t="shared" si="1"/>
        <v/>
      </c>
      <c r="C838" s="24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9"/>
      <c r="B839" s="19" t="str">
        <f t="shared" si="1"/>
        <v/>
      </c>
      <c r="C839" s="25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6"/>
      <c r="B840" s="16" t="str">
        <f t="shared" si="1"/>
        <v/>
      </c>
      <c r="C840" s="24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9"/>
      <c r="B841" s="19" t="str">
        <f t="shared" si="1"/>
        <v/>
      </c>
      <c r="C841" s="25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6"/>
      <c r="B842" s="16" t="str">
        <f t="shared" si="1"/>
        <v/>
      </c>
      <c r="C842" s="24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9"/>
      <c r="B843" s="19" t="str">
        <f t="shared" si="1"/>
        <v/>
      </c>
      <c r="C843" s="25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6"/>
      <c r="B844" s="16" t="str">
        <f t="shared" si="1"/>
        <v/>
      </c>
      <c r="C844" s="24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9"/>
      <c r="B845" s="19" t="str">
        <f t="shared" si="1"/>
        <v/>
      </c>
      <c r="C845" s="25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6"/>
      <c r="B846" s="16" t="str">
        <f t="shared" si="1"/>
        <v/>
      </c>
      <c r="C846" s="24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9"/>
      <c r="B847" s="19" t="str">
        <f t="shared" si="1"/>
        <v/>
      </c>
      <c r="C847" s="25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6"/>
      <c r="B848" s="16" t="str">
        <f t="shared" si="1"/>
        <v/>
      </c>
      <c r="C848" s="24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9"/>
      <c r="B849" s="19" t="str">
        <f t="shared" si="1"/>
        <v/>
      </c>
      <c r="C849" s="25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6"/>
      <c r="B850" s="16" t="str">
        <f t="shared" si="1"/>
        <v/>
      </c>
      <c r="C850" s="24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9"/>
      <c r="B851" s="19" t="str">
        <f t="shared" si="1"/>
        <v/>
      </c>
      <c r="C851" s="25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6"/>
      <c r="B852" s="16" t="str">
        <f t="shared" si="1"/>
        <v/>
      </c>
      <c r="C852" s="24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9"/>
      <c r="B853" s="19" t="str">
        <f t="shared" si="1"/>
        <v/>
      </c>
      <c r="C853" s="25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6"/>
      <c r="B854" s="16" t="str">
        <f t="shared" si="1"/>
        <v/>
      </c>
      <c r="C854" s="24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9"/>
      <c r="B855" s="19" t="str">
        <f t="shared" si="1"/>
        <v/>
      </c>
      <c r="C855" s="25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6"/>
      <c r="B856" s="16" t="str">
        <f t="shared" si="1"/>
        <v/>
      </c>
      <c r="C856" s="24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9"/>
      <c r="B857" s="19" t="str">
        <f t="shared" si="1"/>
        <v/>
      </c>
      <c r="C857" s="25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6"/>
      <c r="B858" s="16" t="str">
        <f t="shared" si="1"/>
        <v/>
      </c>
      <c r="C858" s="24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9"/>
      <c r="B859" s="19" t="str">
        <f t="shared" si="1"/>
        <v/>
      </c>
      <c r="C859" s="25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6"/>
      <c r="B860" s="16" t="str">
        <f t="shared" si="1"/>
        <v/>
      </c>
      <c r="C860" s="24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9"/>
      <c r="B861" s="19" t="str">
        <f t="shared" si="1"/>
        <v/>
      </c>
      <c r="C861" s="25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6"/>
      <c r="B862" s="16" t="str">
        <f t="shared" si="1"/>
        <v/>
      </c>
      <c r="C862" s="24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9"/>
      <c r="B863" s="19" t="str">
        <f t="shared" si="1"/>
        <v/>
      </c>
      <c r="C863" s="25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6"/>
      <c r="B864" s="16" t="str">
        <f t="shared" si="1"/>
        <v/>
      </c>
      <c r="C864" s="24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9"/>
      <c r="B865" s="19" t="str">
        <f t="shared" si="1"/>
        <v/>
      </c>
      <c r="C865" s="25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6"/>
      <c r="B866" s="16" t="str">
        <f t="shared" si="1"/>
        <v/>
      </c>
      <c r="C866" s="24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9"/>
      <c r="B867" s="19" t="str">
        <f t="shared" si="1"/>
        <v/>
      </c>
      <c r="C867" s="25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6"/>
      <c r="B868" s="16" t="str">
        <f t="shared" si="1"/>
        <v/>
      </c>
      <c r="C868" s="24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9"/>
      <c r="B869" s="19" t="str">
        <f t="shared" si="1"/>
        <v/>
      </c>
      <c r="C869" s="25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6"/>
      <c r="B870" s="16" t="str">
        <f t="shared" si="1"/>
        <v/>
      </c>
      <c r="C870" s="24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9"/>
      <c r="B871" s="19" t="str">
        <f t="shared" si="1"/>
        <v/>
      </c>
      <c r="C871" s="25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6"/>
      <c r="B872" s="16" t="str">
        <f t="shared" si="1"/>
        <v/>
      </c>
      <c r="C872" s="24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9"/>
      <c r="B873" s="19" t="str">
        <f t="shared" si="1"/>
        <v/>
      </c>
      <c r="C873" s="25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6"/>
      <c r="B874" s="16" t="str">
        <f t="shared" si="1"/>
        <v/>
      </c>
      <c r="C874" s="24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9"/>
      <c r="B875" s="19" t="str">
        <f t="shared" si="1"/>
        <v/>
      </c>
      <c r="C875" s="25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6"/>
      <c r="B876" s="16" t="str">
        <f t="shared" si="1"/>
        <v/>
      </c>
      <c r="C876" s="24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9"/>
      <c r="B877" s="19" t="str">
        <f t="shared" si="1"/>
        <v/>
      </c>
      <c r="C877" s="25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6"/>
      <c r="B878" s="16" t="str">
        <f t="shared" si="1"/>
        <v/>
      </c>
      <c r="C878" s="24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9"/>
      <c r="B879" s="19" t="str">
        <f t="shared" si="1"/>
        <v/>
      </c>
      <c r="C879" s="25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6"/>
      <c r="B880" s="16" t="str">
        <f t="shared" si="1"/>
        <v/>
      </c>
      <c r="C880" s="24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9"/>
      <c r="B881" s="19" t="str">
        <f t="shared" si="1"/>
        <v/>
      </c>
      <c r="C881" s="25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6"/>
      <c r="B882" s="16" t="str">
        <f t="shared" si="1"/>
        <v/>
      </c>
      <c r="C882" s="24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9"/>
      <c r="B883" s="19" t="str">
        <f t="shared" si="1"/>
        <v/>
      </c>
      <c r="C883" s="25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6"/>
      <c r="B884" s="16" t="str">
        <f t="shared" si="1"/>
        <v/>
      </c>
      <c r="C884" s="24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9"/>
      <c r="B885" s="19" t="str">
        <f t="shared" si="1"/>
        <v/>
      </c>
      <c r="C885" s="25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6"/>
      <c r="B886" s="16" t="str">
        <f t="shared" si="1"/>
        <v/>
      </c>
      <c r="C886" s="24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9"/>
      <c r="B887" s="19" t="str">
        <f t="shared" si="1"/>
        <v/>
      </c>
      <c r="C887" s="25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6"/>
      <c r="B888" s="16" t="str">
        <f t="shared" si="1"/>
        <v/>
      </c>
      <c r="C888" s="24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9"/>
      <c r="B889" s="19" t="str">
        <f t="shared" si="1"/>
        <v/>
      </c>
      <c r="C889" s="25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6"/>
      <c r="B890" s="16" t="str">
        <f t="shared" si="1"/>
        <v/>
      </c>
      <c r="C890" s="24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9"/>
      <c r="B891" s="19" t="str">
        <f t="shared" si="1"/>
        <v/>
      </c>
      <c r="C891" s="25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6"/>
      <c r="B892" s="16" t="str">
        <f t="shared" si="1"/>
        <v/>
      </c>
      <c r="C892" s="24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9"/>
      <c r="B893" s="19" t="str">
        <f t="shared" si="1"/>
        <v/>
      </c>
      <c r="C893" s="25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6"/>
      <c r="B894" s="16" t="str">
        <f t="shared" si="1"/>
        <v/>
      </c>
      <c r="C894" s="24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9"/>
      <c r="B895" s="19" t="str">
        <f t="shared" si="1"/>
        <v/>
      </c>
      <c r="C895" s="25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6"/>
      <c r="B896" s="16" t="str">
        <f t="shared" si="1"/>
        <v/>
      </c>
      <c r="C896" s="24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9"/>
      <c r="B897" s="19" t="str">
        <f t="shared" si="1"/>
        <v/>
      </c>
      <c r="C897" s="25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6"/>
      <c r="B898" s="16" t="str">
        <f t="shared" si="1"/>
        <v/>
      </c>
      <c r="C898" s="24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9"/>
      <c r="B899" s="19" t="str">
        <f t="shared" si="1"/>
        <v/>
      </c>
      <c r="C899" s="25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6"/>
      <c r="B900" s="16" t="str">
        <f t="shared" si="1"/>
        <v/>
      </c>
      <c r="C900" s="24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9"/>
      <c r="B901" s="19" t="str">
        <f t="shared" si="1"/>
        <v/>
      </c>
      <c r="C901" s="25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6"/>
      <c r="B902" s="16" t="str">
        <f t="shared" si="1"/>
        <v/>
      </c>
      <c r="C902" s="24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9"/>
      <c r="B903" s="19" t="str">
        <f t="shared" si="1"/>
        <v/>
      </c>
      <c r="C903" s="25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6"/>
      <c r="B904" s="16" t="str">
        <f t="shared" si="1"/>
        <v/>
      </c>
      <c r="C904" s="24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9"/>
      <c r="B905" s="19" t="str">
        <f t="shared" si="1"/>
        <v/>
      </c>
      <c r="C905" s="25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6"/>
      <c r="B906" s="16" t="str">
        <f t="shared" si="1"/>
        <v/>
      </c>
      <c r="C906" s="24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9"/>
      <c r="B907" s="19" t="str">
        <f t="shared" si="1"/>
        <v/>
      </c>
      <c r="C907" s="25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6"/>
      <c r="B908" s="16" t="str">
        <f t="shared" si="1"/>
        <v/>
      </c>
      <c r="C908" s="24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9"/>
      <c r="B909" s="19" t="str">
        <f t="shared" si="1"/>
        <v/>
      </c>
      <c r="C909" s="25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6"/>
      <c r="B910" s="16" t="str">
        <f t="shared" si="1"/>
        <v/>
      </c>
      <c r="C910" s="24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9"/>
      <c r="B911" s="19" t="str">
        <f t="shared" si="1"/>
        <v/>
      </c>
      <c r="C911" s="25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6"/>
      <c r="B912" s="16" t="str">
        <f t="shared" si="1"/>
        <v/>
      </c>
      <c r="C912" s="24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9"/>
      <c r="B913" s="19" t="str">
        <f t="shared" si="1"/>
        <v/>
      </c>
      <c r="C913" s="25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6"/>
      <c r="B914" s="16" t="str">
        <f t="shared" si="1"/>
        <v/>
      </c>
      <c r="C914" s="24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9"/>
      <c r="B915" s="19" t="str">
        <f t="shared" si="1"/>
        <v/>
      </c>
      <c r="C915" s="25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6"/>
      <c r="B916" s="16" t="str">
        <f t="shared" si="1"/>
        <v/>
      </c>
      <c r="C916" s="24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9"/>
      <c r="B917" s="19" t="str">
        <f t="shared" si="1"/>
        <v/>
      </c>
      <c r="C917" s="25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6"/>
      <c r="B918" s="16" t="str">
        <f t="shared" si="1"/>
        <v/>
      </c>
      <c r="C918" s="24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9"/>
      <c r="B919" s="19" t="str">
        <f t="shared" si="1"/>
        <v/>
      </c>
      <c r="C919" s="25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6"/>
      <c r="B920" s="16" t="str">
        <f t="shared" si="1"/>
        <v/>
      </c>
      <c r="C920" s="24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9"/>
      <c r="B921" s="19" t="str">
        <f t="shared" si="1"/>
        <v/>
      </c>
      <c r="C921" s="25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6"/>
      <c r="B922" s="16" t="str">
        <f t="shared" si="1"/>
        <v/>
      </c>
      <c r="C922" s="24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9"/>
      <c r="B923" s="19" t="str">
        <f t="shared" si="1"/>
        <v/>
      </c>
      <c r="C923" s="25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6"/>
      <c r="B924" s="16" t="str">
        <f t="shared" si="1"/>
        <v/>
      </c>
      <c r="C924" s="24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9"/>
      <c r="B925" s="19" t="str">
        <f t="shared" si="1"/>
        <v/>
      </c>
      <c r="C925" s="25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6"/>
      <c r="B926" s="16" t="str">
        <f t="shared" si="1"/>
        <v/>
      </c>
      <c r="C926" s="24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9"/>
      <c r="B927" s="19" t="str">
        <f t="shared" si="1"/>
        <v/>
      </c>
      <c r="C927" s="25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6"/>
      <c r="B928" s="16" t="str">
        <f t="shared" si="1"/>
        <v/>
      </c>
      <c r="C928" s="24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9"/>
      <c r="B929" s="19" t="str">
        <f t="shared" si="1"/>
        <v/>
      </c>
      <c r="C929" s="25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6"/>
      <c r="B930" s="16" t="str">
        <f t="shared" si="1"/>
        <v/>
      </c>
      <c r="C930" s="24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9"/>
      <c r="B931" s="19" t="str">
        <f t="shared" si="1"/>
        <v/>
      </c>
      <c r="C931" s="25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6"/>
      <c r="B932" s="16" t="str">
        <f t="shared" si="1"/>
        <v/>
      </c>
      <c r="C932" s="24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9"/>
      <c r="B933" s="19" t="str">
        <f t="shared" si="1"/>
        <v/>
      </c>
      <c r="C933" s="25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6"/>
      <c r="B934" s="16" t="str">
        <f t="shared" si="1"/>
        <v/>
      </c>
      <c r="C934" s="24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9"/>
      <c r="B935" s="19" t="str">
        <f t="shared" si="1"/>
        <v/>
      </c>
      <c r="C935" s="25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6"/>
      <c r="B936" s="16" t="str">
        <f t="shared" si="1"/>
        <v/>
      </c>
      <c r="C936" s="24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9"/>
      <c r="B937" s="19" t="str">
        <f t="shared" si="1"/>
        <v/>
      </c>
      <c r="C937" s="25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6"/>
      <c r="B938" s="16" t="str">
        <f t="shared" si="1"/>
        <v/>
      </c>
      <c r="C938" s="24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9"/>
      <c r="B939" s="19" t="str">
        <f t="shared" si="1"/>
        <v/>
      </c>
      <c r="C939" s="25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6"/>
      <c r="B940" s="16" t="str">
        <f t="shared" si="1"/>
        <v/>
      </c>
      <c r="C940" s="24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9"/>
      <c r="B941" s="19" t="str">
        <f t="shared" si="1"/>
        <v/>
      </c>
      <c r="C941" s="25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6"/>
      <c r="B942" s="16" t="str">
        <f t="shared" si="1"/>
        <v/>
      </c>
      <c r="C942" s="24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9"/>
      <c r="B943" s="19" t="str">
        <f t="shared" si="1"/>
        <v/>
      </c>
      <c r="C943" s="25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6"/>
      <c r="B944" s="16" t="str">
        <f t="shared" si="1"/>
        <v/>
      </c>
      <c r="C944" s="24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9"/>
      <c r="B945" s="19" t="str">
        <f t="shared" si="1"/>
        <v/>
      </c>
      <c r="C945" s="25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6"/>
      <c r="B946" s="16" t="str">
        <f t="shared" si="1"/>
        <v/>
      </c>
      <c r="C946" s="24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9"/>
      <c r="B947" s="19" t="str">
        <f t="shared" si="1"/>
        <v/>
      </c>
      <c r="C947" s="25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6"/>
      <c r="B948" s="16" t="str">
        <f t="shared" si="1"/>
        <v/>
      </c>
      <c r="C948" s="24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9"/>
      <c r="B949" s="19" t="str">
        <f t="shared" si="1"/>
        <v/>
      </c>
      <c r="C949" s="25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6"/>
      <c r="B950" s="16" t="str">
        <f t="shared" si="1"/>
        <v/>
      </c>
      <c r="C950" s="24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9"/>
      <c r="B951" s="19" t="str">
        <f t="shared" si="1"/>
        <v/>
      </c>
      <c r="C951" s="25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6"/>
      <c r="B952" s="16" t="str">
        <f t="shared" si="1"/>
        <v/>
      </c>
      <c r="C952" s="24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9"/>
      <c r="B953" s="19" t="str">
        <f t="shared" si="1"/>
        <v/>
      </c>
      <c r="C953" s="25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6"/>
      <c r="B954" s="16" t="str">
        <f t="shared" si="1"/>
        <v/>
      </c>
      <c r="C954" s="24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9"/>
      <c r="B955" s="19" t="str">
        <f t="shared" si="1"/>
        <v/>
      </c>
      <c r="C955" s="25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6"/>
      <c r="B956" s="16" t="str">
        <f t="shared" si="1"/>
        <v/>
      </c>
      <c r="C956" s="24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9"/>
      <c r="B957" s="19" t="str">
        <f t="shared" si="1"/>
        <v/>
      </c>
      <c r="C957" s="25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6"/>
      <c r="B958" s="16" t="str">
        <f t="shared" si="1"/>
        <v/>
      </c>
      <c r="C958" s="24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9"/>
      <c r="B959" s="19" t="str">
        <f t="shared" si="1"/>
        <v/>
      </c>
      <c r="C959" s="25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6"/>
      <c r="B960" s="16" t="str">
        <f t="shared" si="1"/>
        <v/>
      </c>
      <c r="C960" s="24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9"/>
      <c r="B961" s="19" t="str">
        <f t="shared" si="1"/>
        <v/>
      </c>
      <c r="C961" s="25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6"/>
      <c r="B962" s="16" t="str">
        <f t="shared" si="1"/>
        <v/>
      </c>
      <c r="C962" s="24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9"/>
      <c r="B963" s="19" t="str">
        <f t="shared" si="1"/>
        <v/>
      </c>
      <c r="C963" s="25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6"/>
      <c r="B964" s="16" t="str">
        <f t="shared" si="1"/>
        <v/>
      </c>
      <c r="C964" s="24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9"/>
      <c r="B965" s="19" t="str">
        <f t="shared" si="1"/>
        <v/>
      </c>
      <c r="C965" s="25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6"/>
      <c r="B966" s="16" t="str">
        <f t="shared" si="1"/>
        <v/>
      </c>
      <c r="C966" s="24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9"/>
      <c r="B967" s="19" t="str">
        <f t="shared" si="1"/>
        <v/>
      </c>
      <c r="C967" s="25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6"/>
      <c r="B968" s="16" t="str">
        <f t="shared" si="1"/>
        <v/>
      </c>
      <c r="C968" s="24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9"/>
      <c r="B969" s="19" t="str">
        <f t="shared" si="1"/>
        <v/>
      </c>
      <c r="C969" s="25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6"/>
      <c r="B970" s="16" t="str">
        <f t="shared" si="1"/>
        <v/>
      </c>
      <c r="C970" s="24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9"/>
      <c r="B971" s="19" t="str">
        <f t="shared" si="1"/>
        <v/>
      </c>
      <c r="C971" s="25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6"/>
      <c r="B972" s="16" t="str">
        <f t="shared" si="1"/>
        <v/>
      </c>
      <c r="C972" s="24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9"/>
      <c r="B973" s="19" t="str">
        <f t="shared" si="1"/>
        <v/>
      </c>
      <c r="C973" s="25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6"/>
      <c r="B974" s="16" t="str">
        <f t="shared" si="1"/>
        <v/>
      </c>
      <c r="C974" s="24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9"/>
      <c r="B975" s="19" t="str">
        <f t="shared" si="1"/>
        <v/>
      </c>
      <c r="C975" s="25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6"/>
      <c r="B976" s="16" t="str">
        <f t="shared" si="1"/>
        <v/>
      </c>
      <c r="C976" s="24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9"/>
      <c r="B977" s="19" t="str">
        <f t="shared" si="1"/>
        <v/>
      </c>
      <c r="C977" s="25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6"/>
      <c r="B978" s="16" t="str">
        <f t="shared" si="1"/>
        <v/>
      </c>
      <c r="C978" s="24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9"/>
      <c r="B979" s="19" t="str">
        <f t="shared" si="1"/>
        <v/>
      </c>
      <c r="C979" s="25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6"/>
      <c r="B980" s="16" t="str">
        <f t="shared" si="1"/>
        <v/>
      </c>
      <c r="C980" s="24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9"/>
      <c r="B981" s="19" t="str">
        <f t="shared" si="1"/>
        <v/>
      </c>
      <c r="C981" s="25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6"/>
      <c r="B982" s="16" t="str">
        <f t="shared" si="1"/>
        <v/>
      </c>
      <c r="C982" s="24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9"/>
      <c r="B983" s="19" t="str">
        <f t="shared" si="1"/>
        <v/>
      </c>
      <c r="C983" s="25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6"/>
      <c r="B984" s="16" t="str">
        <f t="shared" si="1"/>
        <v/>
      </c>
      <c r="C984" s="24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9"/>
      <c r="B985" s="19" t="str">
        <f t="shared" si="1"/>
        <v/>
      </c>
      <c r="C985" s="25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6"/>
      <c r="B986" s="16" t="str">
        <f t="shared" si="1"/>
        <v/>
      </c>
      <c r="C986" s="24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9"/>
      <c r="B987" s="19" t="str">
        <f t="shared" si="1"/>
        <v/>
      </c>
      <c r="C987" s="25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6"/>
      <c r="B988" s="16" t="str">
        <f t="shared" si="1"/>
        <v/>
      </c>
      <c r="C988" s="24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9"/>
      <c r="B989" s="19" t="str">
        <f t="shared" si="1"/>
        <v/>
      </c>
      <c r="C989" s="25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6"/>
      <c r="B990" s="16" t="str">
        <f t="shared" si="1"/>
        <v/>
      </c>
      <c r="C990" s="24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9"/>
      <c r="B991" s="19" t="str">
        <f t="shared" si="1"/>
        <v/>
      </c>
      <c r="C991" s="25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6"/>
      <c r="B992" s="16" t="str">
        <f t="shared" si="1"/>
        <v/>
      </c>
      <c r="C992" s="24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9"/>
      <c r="B993" s="19" t="str">
        <f t="shared" si="1"/>
        <v/>
      </c>
      <c r="C993" s="25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6"/>
      <c r="B994" s="16" t="str">
        <f t="shared" si="1"/>
        <v/>
      </c>
      <c r="C994" s="24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9"/>
      <c r="B995" s="19" t="str">
        <f t="shared" si="1"/>
        <v/>
      </c>
      <c r="C995" s="25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6"/>
      <c r="B996" s="16" t="str">
        <f t="shared" si="1"/>
        <v/>
      </c>
      <c r="C996" s="24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9"/>
      <c r="B997" s="19" t="str">
        <f t="shared" si="1"/>
        <v/>
      </c>
      <c r="C997" s="25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6"/>
      <c r="B998" s="16" t="str">
        <f t="shared" si="1"/>
        <v/>
      </c>
      <c r="C998" s="24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9"/>
      <c r="B999" s="19" t="str">
        <f t="shared" si="1"/>
        <v/>
      </c>
      <c r="C999" s="25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26"/>
      <c r="B1000" s="26" t="str">
        <f t="shared" si="1"/>
        <v/>
      </c>
      <c r="C1000" s="27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autoFilter ref="$B$1:$B$1000"/>
  <conditionalFormatting sqref="B1:B1000">
    <cfRule type="containsText" dxfId="1" priority="1" operator="containsText" text="S">
      <formula>NOT(ISERROR(SEARCH(("S"),(B1))))</formula>
    </cfRule>
  </conditionalFormatting>
  <conditionalFormatting sqref="B1:B1000">
    <cfRule type="containsText" dxfId="9" priority="2" operator="containsText" text="A">
      <formula>NOT(ISERROR(SEARCH(("A"),(B1))))</formula>
    </cfRule>
  </conditionalFormatting>
  <conditionalFormatting sqref="B1:B1000">
    <cfRule type="containsText" dxfId="10" priority="3" operator="containsText" text="B">
      <formula>NOT(ISERROR(SEARCH(("B"),(B1))))</formula>
    </cfRule>
  </conditionalFormatting>
  <conditionalFormatting sqref="B1:B1000">
    <cfRule type="containsText" dxfId="11" priority="4" operator="containsText" text="C">
      <formula>NOT(ISERROR(SEARCH(("C"),(B1))))</formula>
    </cfRule>
  </conditionalFormatting>
  <conditionalFormatting sqref="B1:B1000">
    <cfRule type="containsText" dxfId="12" priority="5" operator="containsText" text="D">
      <formula>NOT(ISERROR(SEARCH(("D"),(B1))))</formula>
    </cfRule>
  </conditionalFormatting>
  <conditionalFormatting sqref="B1:B1000">
    <cfRule type="containsText" dxfId="2" priority="6" operator="containsText" text="F">
      <formula>NOT(ISERROR(SEARCH(("F"),(B1))))</formula>
    </cfRule>
  </conditionalFormatting>
  <conditionalFormatting sqref="C163">
    <cfRule type="notContainsBlanks" dxfId="13" priority="7">
      <formula>LEN(TRIM(C163))&gt;0</formula>
    </cfRule>
  </conditionalFormatting>
  <dataValidations>
    <dataValidation type="decimal" allowBlank="1" showDropDown="1" showErrorMessage="1" sqref="C2:C158">
      <formula1>1.0</formula1>
      <formula2>1000.0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10.5"/>
    <col customWidth="1" min="3" max="3" width="9.5"/>
    <col customWidth="1" min="4" max="4" width="9.75"/>
    <col customWidth="1" min="5" max="5" width="9.5"/>
    <col customWidth="1" min="6" max="6" width="13.88"/>
    <col customWidth="1" min="7" max="7" width="48.13"/>
  </cols>
  <sheetData>
    <row r="1">
      <c r="A1" s="28" t="s">
        <v>527</v>
      </c>
      <c r="B1" s="28" t="s">
        <v>528</v>
      </c>
      <c r="C1" s="29" t="s">
        <v>9</v>
      </c>
      <c r="D1" s="28" t="s">
        <v>529</v>
      </c>
      <c r="E1" s="28" t="s">
        <v>530</v>
      </c>
      <c r="F1" s="28" t="s">
        <v>531</v>
      </c>
      <c r="G1" s="28" t="s">
        <v>532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4" t="s">
        <v>533</v>
      </c>
      <c r="B2" s="4" t="s">
        <v>533</v>
      </c>
      <c r="C2" s="4" t="s">
        <v>214</v>
      </c>
      <c r="D2" s="4">
        <v>0.0</v>
      </c>
      <c r="E2" s="4">
        <v>0.76</v>
      </c>
      <c r="F2" s="6"/>
      <c r="G2" s="4" t="s">
        <v>534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1" t="s">
        <v>535</v>
      </c>
      <c r="B3" s="31" t="s">
        <v>536</v>
      </c>
      <c r="C3" s="31" t="s">
        <v>214</v>
      </c>
      <c r="D3" s="31">
        <v>0.1</v>
      </c>
      <c r="E3" s="31">
        <v>0.04</v>
      </c>
      <c r="F3" s="31" t="s">
        <v>7</v>
      </c>
      <c r="G3" s="31" t="s">
        <v>537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4" t="s">
        <v>538</v>
      </c>
      <c r="B4" s="4" t="s">
        <v>539</v>
      </c>
      <c r="C4" s="4" t="s">
        <v>214</v>
      </c>
      <c r="D4" s="4">
        <v>0.1</v>
      </c>
      <c r="E4" s="4">
        <v>0.04</v>
      </c>
      <c r="F4" s="4" t="s">
        <v>19</v>
      </c>
      <c r="G4" s="4" t="s">
        <v>540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1" t="s">
        <v>541</v>
      </c>
      <c r="B5" s="31" t="s">
        <v>542</v>
      </c>
      <c r="C5" s="31" t="s">
        <v>214</v>
      </c>
      <c r="D5" s="31">
        <v>-0.1</v>
      </c>
      <c r="E5" s="31">
        <v>0.04</v>
      </c>
      <c r="F5" s="31" t="s">
        <v>20</v>
      </c>
      <c r="G5" s="31" t="s">
        <v>543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4" t="s">
        <v>544</v>
      </c>
      <c r="B6" s="4" t="s">
        <v>64</v>
      </c>
      <c r="C6" s="4" t="s">
        <v>58</v>
      </c>
      <c r="D6" s="6"/>
      <c r="E6" s="4">
        <v>0.01</v>
      </c>
      <c r="F6" s="4" t="s">
        <v>64</v>
      </c>
      <c r="G6" s="4" t="s">
        <v>545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1" t="s">
        <v>546</v>
      </c>
      <c r="B7" s="31" t="s">
        <v>547</v>
      </c>
      <c r="C7" s="31" t="s">
        <v>58</v>
      </c>
      <c r="D7" s="32"/>
      <c r="E7" s="31">
        <v>0.01</v>
      </c>
      <c r="F7" s="31" t="s">
        <v>75</v>
      </c>
      <c r="G7" s="31" t="s">
        <v>548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4" t="s">
        <v>549</v>
      </c>
      <c r="B8" s="4" t="s">
        <v>96</v>
      </c>
      <c r="C8" s="4" t="s">
        <v>58</v>
      </c>
      <c r="D8" s="6"/>
      <c r="E8" s="4">
        <v>0.01</v>
      </c>
      <c r="F8" s="4" t="s">
        <v>96</v>
      </c>
      <c r="G8" s="4" t="s">
        <v>550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1" t="s">
        <v>551</v>
      </c>
      <c r="B9" s="31" t="s">
        <v>552</v>
      </c>
      <c r="C9" s="31" t="s">
        <v>30</v>
      </c>
      <c r="D9" s="31">
        <v>0.25</v>
      </c>
      <c r="E9" s="31">
        <v>0.01</v>
      </c>
      <c r="F9" s="31" t="s">
        <v>19</v>
      </c>
      <c r="G9" s="31" t="s">
        <v>553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4" t="s">
        <v>554</v>
      </c>
      <c r="B10" s="4" t="s">
        <v>555</v>
      </c>
      <c r="C10" s="4" t="s">
        <v>30</v>
      </c>
      <c r="D10" s="4">
        <v>0.15</v>
      </c>
      <c r="E10" s="4">
        <v>0.01</v>
      </c>
      <c r="F10" s="4" t="s">
        <v>556</v>
      </c>
      <c r="G10" s="4" t="s">
        <v>557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1" t="s">
        <v>558</v>
      </c>
      <c r="B11" s="31" t="s">
        <v>559</v>
      </c>
      <c r="C11" s="31" t="s">
        <v>30</v>
      </c>
      <c r="D11" s="31">
        <v>0.15</v>
      </c>
      <c r="E11" s="31">
        <v>0.01</v>
      </c>
      <c r="F11" s="31" t="s">
        <v>11</v>
      </c>
      <c r="G11" s="31" t="s">
        <v>560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" t="s">
        <v>561</v>
      </c>
      <c r="B12" s="4" t="s">
        <v>562</v>
      </c>
      <c r="C12" s="4" t="s">
        <v>30</v>
      </c>
      <c r="D12" s="4">
        <v>-0.2</v>
      </c>
      <c r="E12" s="4">
        <v>0.01</v>
      </c>
      <c r="F12" s="4" t="s">
        <v>20</v>
      </c>
      <c r="G12" s="4" t="s">
        <v>563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1" t="s">
        <v>564</v>
      </c>
      <c r="B13" s="31" t="s">
        <v>565</v>
      </c>
      <c r="C13" s="31" t="s">
        <v>30</v>
      </c>
      <c r="D13" s="31">
        <v>0.25</v>
      </c>
      <c r="E13" s="31">
        <v>0.01</v>
      </c>
      <c r="F13" s="31" t="s">
        <v>7</v>
      </c>
      <c r="G13" s="31" t="s">
        <v>566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4" t="s">
        <v>567</v>
      </c>
      <c r="B14" s="4" t="s">
        <v>568</v>
      </c>
      <c r="C14" s="4" t="s">
        <v>30</v>
      </c>
      <c r="D14" s="4">
        <v>10.0</v>
      </c>
      <c r="E14" s="4">
        <v>0.01</v>
      </c>
      <c r="F14" s="4" t="s">
        <v>101</v>
      </c>
      <c r="G14" s="4" t="s">
        <v>569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1" t="s">
        <v>570</v>
      </c>
      <c r="B15" s="31" t="s">
        <v>571</v>
      </c>
      <c r="C15" s="31" t="s">
        <v>46</v>
      </c>
      <c r="D15" s="32"/>
      <c r="E15" s="31">
        <v>0.002</v>
      </c>
      <c r="F15" s="31" t="s">
        <v>96</v>
      </c>
      <c r="G15" s="31" t="s">
        <v>572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4" t="s">
        <v>573</v>
      </c>
      <c r="B16" s="4" t="s">
        <v>574</v>
      </c>
      <c r="C16" s="4" t="s">
        <v>46</v>
      </c>
      <c r="D16" s="4">
        <v>0.25</v>
      </c>
      <c r="E16" s="4">
        <v>0.002</v>
      </c>
      <c r="F16" s="4" t="s">
        <v>575</v>
      </c>
      <c r="G16" s="4" t="s">
        <v>576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1" t="s">
        <v>577</v>
      </c>
      <c r="B17" s="31" t="s">
        <v>578</v>
      </c>
      <c r="C17" s="31" t="s">
        <v>46</v>
      </c>
      <c r="D17" s="32"/>
      <c r="E17" s="31">
        <v>0.002</v>
      </c>
      <c r="F17" s="31" t="s">
        <v>75</v>
      </c>
      <c r="G17" s="31" t="s">
        <v>579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4" t="s">
        <v>580</v>
      </c>
      <c r="B18" s="4" t="s">
        <v>581</v>
      </c>
      <c r="C18" s="4" t="s">
        <v>46</v>
      </c>
      <c r="D18" s="6"/>
      <c r="E18" s="4">
        <v>0.002</v>
      </c>
      <c r="F18" s="4" t="s">
        <v>64</v>
      </c>
      <c r="G18" s="4" t="s">
        <v>582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1" t="s">
        <v>583</v>
      </c>
      <c r="B19" s="31" t="s">
        <v>584</v>
      </c>
      <c r="C19" s="31" t="s">
        <v>46</v>
      </c>
      <c r="D19" s="31">
        <v>0.2</v>
      </c>
      <c r="E19" s="31">
        <v>0.002</v>
      </c>
      <c r="F19" s="31" t="s">
        <v>12</v>
      </c>
      <c r="G19" s="31" t="s">
        <v>585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4" t="s">
        <v>586</v>
      </c>
      <c r="B20" s="4" t="s">
        <v>587</v>
      </c>
      <c r="C20" s="4" t="s">
        <v>46</v>
      </c>
      <c r="D20" s="4">
        <v>0.2</v>
      </c>
      <c r="E20" s="4">
        <v>0.002</v>
      </c>
      <c r="F20" s="4" t="s">
        <v>1</v>
      </c>
      <c r="G20" s="4" t="s">
        <v>588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1" t="s">
        <v>589</v>
      </c>
      <c r="B21" s="31" t="s">
        <v>590</v>
      </c>
      <c r="C21" s="31" t="s">
        <v>34</v>
      </c>
      <c r="D21" s="31">
        <v>0.5</v>
      </c>
      <c r="E21" s="31">
        <v>0.001</v>
      </c>
      <c r="F21" s="31" t="s">
        <v>7</v>
      </c>
      <c r="G21" s="31" t="s">
        <v>591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4" t="s">
        <v>592</v>
      </c>
      <c r="B22" s="4" t="s">
        <v>593</v>
      </c>
      <c r="C22" s="4" t="s">
        <v>34</v>
      </c>
      <c r="D22" s="4">
        <v>-0.35</v>
      </c>
      <c r="E22" s="4">
        <v>0.001</v>
      </c>
      <c r="F22" s="4" t="s">
        <v>20</v>
      </c>
      <c r="G22" s="4" t="s">
        <v>594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1" t="s">
        <v>595</v>
      </c>
      <c r="B23" s="31" t="s">
        <v>596</v>
      </c>
      <c r="C23" s="31" t="s">
        <v>34</v>
      </c>
      <c r="D23" s="31">
        <v>0.5</v>
      </c>
      <c r="E23" s="31">
        <v>0.001</v>
      </c>
      <c r="F23" s="31" t="s">
        <v>19</v>
      </c>
      <c r="G23" s="31" t="s">
        <v>597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4" t="s">
        <v>598</v>
      </c>
      <c r="B24" s="4" t="s">
        <v>395</v>
      </c>
      <c r="C24" s="4" t="s">
        <v>34</v>
      </c>
      <c r="D24" s="4">
        <v>0.5</v>
      </c>
      <c r="E24" s="4">
        <v>0.001</v>
      </c>
      <c r="F24" s="4" t="s">
        <v>11</v>
      </c>
      <c r="G24" s="4" t="s">
        <v>599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1" t="s">
        <v>600</v>
      </c>
      <c r="B25" s="31" t="s">
        <v>556</v>
      </c>
      <c r="C25" s="31" t="s">
        <v>34</v>
      </c>
      <c r="D25" s="31">
        <v>0.35</v>
      </c>
      <c r="E25" s="31">
        <v>0.001</v>
      </c>
      <c r="F25" s="31" t="s">
        <v>556</v>
      </c>
      <c r="G25" s="31" t="s">
        <v>601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4" t="s">
        <v>602</v>
      </c>
      <c r="B26" s="4" t="s">
        <v>74</v>
      </c>
      <c r="C26" s="4" t="s">
        <v>40</v>
      </c>
      <c r="D26" s="4">
        <v>0.35</v>
      </c>
      <c r="E26" s="4">
        <v>0.001</v>
      </c>
      <c r="F26" s="4" t="s">
        <v>1</v>
      </c>
      <c r="G26" s="4" t="s">
        <v>603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1" t="s">
        <v>604</v>
      </c>
      <c r="B27" s="31" t="s">
        <v>605</v>
      </c>
      <c r="C27" s="31" t="s">
        <v>40</v>
      </c>
      <c r="D27" s="31">
        <v>0.6</v>
      </c>
      <c r="E27" s="31">
        <v>0.001</v>
      </c>
      <c r="F27" s="31" t="s">
        <v>575</v>
      </c>
      <c r="G27" s="31" t="s">
        <v>606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4" t="s">
        <v>607</v>
      </c>
      <c r="B28" s="4" t="s">
        <v>608</v>
      </c>
      <c r="C28" s="4" t="s">
        <v>40</v>
      </c>
      <c r="D28" s="4">
        <v>0.35</v>
      </c>
      <c r="E28" s="4">
        <v>0.001</v>
      </c>
      <c r="F28" s="4" t="s">
        <v>12</v>
      </c>
      <c r="G28" s="4" t="s">
        <v>609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1" t="s">
        <v>610</v>
      </c>
      <c r="B29" s="31" t="s">
        <v>147</v>
      </c>
      <c r="C29" s="31" t="s">
        <v>40</v>
      </c>
      <c r="D29" s="31">
        <v>25.0</v>
      </c>
      <c r="E29" s="31">
        <v>0.001</v>
      </c>
      <c r="F29" s="31" t="s">
        <v>101</v>
      </c>
      <c r="G29" s="31" t="s">
        <v>611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4"/>
      <c r="B30" s="4"/>
      <c r="C30" s="4"/>
      <c r="D30" s="4"/>
      <c r="E30" s="4"/>
      <c r="F30" s="4"/>
      <c r="G30" s="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2"/>
      <c r="B31" s="32"/>
      <c r="C31" s="31"/>
      <c r="D31" s="32"/>
      <c r="E31" s="32"/>
      <c r="F31" s="31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6"/>
      <c r="B32" s="6"/>
      <c r="C32" s="4"/>
      <c r="D32" s="6"/>
      <c r="E32" s="6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2"/>
      <c r="B33" s="32"/>
      <c r="C33" s="31"/>
      <c r="D33" s="32"/>
      <c r="E33" s="32"/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6"/>
      <c r="B34" s="6"/>
      <c r="C34" s="4"/>
      <c r="D34" s="6"/>
      <c r="E34" s="6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2"/>
      <c r="B35" s="32"/>
      <c r="C35" s="31"/>
      <c r="D35" s="32"/>
      <c r="E35" s="32"/>
      <c r="F35" s="31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6"/>
      <c r="B36" s="6"/>
      <c r="C36" s="4"/>
      <c r="D36" s="6"/>
      <c r="E36" s="6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2"/>
      <c r="B37" s="32"/>
      <c r="C37" s="31"/>
      <c r="D37" s="32"/>
      <c r="E37" s="32"/>
      <c r="F37" s="31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6"/>
      <c r="B38" s="6"/>
      <c r="C38" s="4"/>
      <c r="D38" s="6"/>
      <c r="E38" s="6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2"/>
      <c r="B39" s="32"/>
      <c r="C39" s="31"/>
      <c r="D39" s="32"/>
      <c r="E39" s="32"/>
      <c r="F39" s="31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6"/>
      <c r="B40" s="6"/>
      <c r="C40" s="4"/>
      <c r="D40" s="6"/>
      <c r="E40" s="6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2"/>
      <c r="B41" s="32"/>
      <c r="C41" s="31"/>
      <c r="D41" s="32"/>
      <c r="E41" s="32"/>
      <c r="F41" s="31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6"/>
      <c r="B42" s="6"/>
      <c r="C42" s="4"/>
      <c r="D42" s="6"/>
      <c r="E42" s="6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2"/>
      <c r="B43" s="32"/>
      <c r="C43" s="31"/>
      <c r="D43" s="32"/>
      <c r="E43" s="32"/>
      <c r="F43" s="31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6"/>
      <c r="B44" s="6"/>
      <c r="C44" s="4"/>
      <c r="D44" s="6"/>
      <c r="E44" s="6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2"/>
      <c r="B45" s="32"/>
      <c r="C45" s="31"/>
      <c r="D45" s="32"/>
      <c r="E45" s="32"/>
      <c r="F45" s="31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6"/>
      <c r="B46" s="6"/>
      <c r="C46" s="4"/>
      <c r="D46" s="6"/>
      <c r="E46" s="6"/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2"/>
      <c r="B47" s="32"/>
      <c r="C47" s="31"/>
      <c r="D47" s="32"/>
      <c r="E47" s="32"/>
      <c r="F47" s="31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6"/>
      <c r="B48" s="6"/>
      <c r="C48" s="4"/>
      <c r="D48" s="6"/>
      <c r="E48" s="6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2"/>
      <c r="B49" s="32"/>
      <c r="C49" s="31"/>
      <c r="D49" s="32"/>
      <c r="E49" s="32"/>
      <c r="F49" s="31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6"/>
      <c r="B50" s="6"/>
      <c r="C50" s="4"/>
      <c r="D50" s="6"/>
      <c r="E50" s="6"/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2"/>
      <c r="B51" s="32"/>
      <c r="C51" s="31"/>
      <c r="D51" s="32"/>
      <c r="E51" s="32"/>
      <c r="F51" s="31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6"/>
      <c r="B52" s="6"/>
      <c r="C52" s="4"/>
      <c r="D52" s="6"/>
      <c r="E52" s="6"/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2"/>
      <c r="B53" s="32"/>
      <c r="C53" s="31"/>
      <c r="D53" s="32"/>
      <c r="E53" s="32"/>
      <c r="F53" s="31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6"/>
      <c r="B54" s="6"/>
      <c r="C54" s="4"/>
      <c r="D54" s="6"/>
      <c r="E54" s="6"/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2"/>
      <c r="B55" s="32"/>
      <c r="C55" s="31"/>
      <c r="D55" s="32"/>
      <c r="E55" s="32"/>
      <c r="F55" s="31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6"/>
      <c r="B56" s="6"/>
      <c r="C56" s="4"/>
      <c r="D56" s="6"/>
      <c r="E56" s="6"/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2"/>
      <c r="B57" s="32"/>
      <c r="C57" s="31"/>
      <c r="D57" s="32"/>
      <c r="E57" s="32"/>
      <c r="F57" s="31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6"/>
      <c r="B58" s="6"/>
      <c r="C58" s="4"/>
      <c r="D58" s="6"/>
      <c r="E58" s="6"/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2"/>
      <c r="B59" s="32"/>
      <c r="C59" s="31"/>
      <c r="D59" s="32"/>
      <c r="E59" s="32"/>
      <c r="F59" s="31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6"/>
      <c r="B60" s="6"/>
      <c r="C60" s="4"/>
      <c r="D60" s="6"/>
      <c r="E60" s="6"/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2"/>
      <c r="B61" s="32"/>
      <c r="C61" s="31"/>
      <c r="D61" s="32"/>
      <c r="E61" s="32"/>
      <c r="F61" s="31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6"/>
      <c r="B62" s="6"/>
      <c r="C62" s="4"/>
      <c r="D62" s="6"/>
      <c r="E62" s="6"/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2"/>
      <c r="B63" s="32"/>
      <c r="C63" s="31"/>
      <c r="D63" s="32"/>
      <c r="E63" s="32"/>
      <c r="F63" s="31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6"/>
      <c r="B64" s="6"/>
      <c r="C64" s="4"/>
      <c r="D64" s="6"/>
      <c r="E64" s="6"/>
      <c r="F64" s="4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2"/>
      <c r="B65" s="32"/>
      <c r="C65" s="31"/>
      <c r="D65" s="32"/>
      <c r="E65" s="32"/>
      <c r="F65" s="31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6"/>
      <c r="B66" s="6"/>
      <c r="C66" s="4"/>
      <c r="D66" s="6"/>
      <c r="E66" s="6"/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2"/>
      <c r="B67" s="32"/>
      <c r="C67" s="31"/>
      <c r="D67" s="32"/>
      <c r="E67" s="32"/>
      <c r="F67" s="31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6"/>
      <c r="B68" s="6"/>
      <c r="C68" s="4"/>
      <c r="D68" s="6"/>
      <c r="E68" s="6"/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2"/>
      <c r="B69" s="32"/>
      <c r="C69" s="31"/>
      <c r="D69" s="32"/>
      <c r="E69" s="32"/>
      <c r="F69" s="31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6"/>
      <c r="B70" s="6"/>
      <c r="C70" s="4"/>
      <c r="D70" s="6"/>
      <c r="E70" s="6"/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2"/>
      <c r="B71" s="32"/>
      <c r="C71" s="31"/>
      <c r="D71" s="32"/>
      <c r="E71" s="32"/>
      <c r="F71" s="31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6"/>
      <c r="B72" s="6"/>
      <c r="C72" s="4"/>
      <c r="D72" s="6"/>
      <c r="E72" s="6"/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32"/>
      <c r="B73" s="32"/>
      <c r="C73" s="31"/>
      <c r="D73" s="32"/>
      <c r="E73" s="32"/>
      <c r="F73" s="31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6"/>
      <c r="B74" s="6"/>
      <c r="C74" s="4"/>
      <c r="D74" s="6"/>
      <c r="E74" s="6"/>
      <c r="F74" s="4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2"/>
      <c r="B75" s="32"/>
      <c r="C75" s="31"/>
      <c r="D75" s="32"/>
      <c r="E75" s="32"/>
      <c r="F75" s="31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6"/>
      <c r="B76" s="6"/>
      <c r="C76" s="4"/>
      <c r="D76" s="6"/>
      <c r="E76" s="6"/>
      <c r="F76" s="4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2"/>
      <c r="B77" s="32"/>
      <c r="C77" s="31"/>
      <c r="D77" s="32"/>
      <c r="E77" s="32"/>
      <c r="F77" s="31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6"/>
      <c r="B78" s="6"/>
      <c r="C78" s="4"/>
      <c r="D78" s="6"/>
      <c r="E78" s="6"/>
      <c r="F78" s="4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32"/>
      <c r="B79" s="32"/>
      <c r="C79" s="31"/>
      <c r="D79" s="32"/>
      <c r="E79" s="32"/>
      <c r="F79" s="31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6"/>
      <c r="B80" s="6"/>
      <c r="C80" s="4"/>
      <c r="D80" s="6"/>
      <c r="E80" s="6"/>
      <c r="F80" s="4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2"/>
      <c r="B81" s="32"/>
      <c r="C81" s="31"/>
      <c r="D81" s="32"/>
      <c r="E81" s="32"/>
      <c r="F81" s="31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6"/>
      <c r="B82" s="6"/>
      <c r="C82" s="4"/>
      <c r="D82" s="6"/>
      <c r="E82" s="6"/>
      <c r="F82" s="4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32"/>
      <c r="B83" s="32"/>
      <c r="C83" s="31"/>
      <c r="D83" s="32"/>
      <c r="E83" s="32"/>
      <c r="F83" s="31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6"/>
      <c r="B84" s="6"/>
      <c r="C84" s="4"/>
      <c r="D84" s="6"/>
      <c r="E84" s="6"/>
      <c r="F84" s="4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2"/>
      <c r="B85" s="32"/>
      <c r="C85" s="31"/>
      <c r="D85" s="32"/>
      <c r="E85" s="32"/>
      <c r="F85" s="31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6"/>
      <c r="B86" s="6"/>
      <c r="C86" s="4"/>
      <c r="D86" s="6"/>
      <c r="E86" s="6"/>
      <c r="F86" s="4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2"/>
      <c r="B87" s="32"/>
      <c r="C87" s="31"/>
      <c r="D87" s="32"/>
      <c r="E87" s="32"/>
      <c r="F87" s="31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6"/>
      <c r="B88" s="6"/>
      <c r="C88" s="4"/>
      <c r="D88" s="6"/>
      <c r="E88" s="6"/>
      <c r="F88" s="4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32"/>
      <c r="B89" s="32"/>
      <c r="C89" s="31"/>
      <c r="D89" s="32"/>
      <c r="E89" s="32"/>
      <c r="F89" s="31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6"/>
      <c r="B90" s="6"/>
      <c r="C90" s="4"/>
      <c r="D90" s="6"/>
      <c r="E90" s="6"/>
      <c r="F90" s="4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32"/>
      <c r="B91" s="32"/>
      <c r="C91" s="31"/>
      <c r="D91" s="32"/>
      <c r="E91" s="32"/>
      <c r="F91" s="31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6"/>
      <c r="B92" s="6"/>
      <c r="C92" s="4"/>
      <c r="D92" s="6"/>
      <c r="E92" s="6"/>
      <c r="F92" s="4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32"/>
      <c r="B93" s="32"/>
      <c r="C93" s="31"/>
      <c r="D93" s="32"/>
      <c r="E93" s="32"/>
      <c r="F93" s="31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6"/>
      <c r="B94" s="6"/>
      <c r="C94" s="4"/>
      <c r="D94" s="6"/>
      <c r="E94" s="6"/>
      <c r="F94" s="4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2"/>
      <c r="B95" s="32"/>
      <c r="C95" s="31"/>
      <c r="D95" s="32"/>
      <c r="E95" s="32"/>
      <c r="F95" s="31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6"/>
      <c r="B96" s="6"/>
      <c r="C96" s="4"/>
      <c r="D96" s="6"/>
      <c r="E96" s="6"/>
      <c r="F96" s="4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2"/>
      <c r="B97" s="32"/>
      <c r="C97" s="31"/>
      <c r="D97" s="32"/>
      <c r="E97" s="32"/>
      <c r="F97" s="31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6"/>
      <c r="B98" s="6"/>
      <c r="C98" s="4"/>
      <c r="D98" s="6"/>
      <c r="E98" s="6"/>
      <c r="F98" s="4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2"/>
      <c r="B99" s="32"/>
      <c r="C99" s="31"/>
      <c r="D99" s="32"/>
      <c r="E99" s="32"/>
      <c r="F99" s="31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6"/>
      <c r="B100" s="6"/>
      <c r="C100" s="4"/>
      <c r="D100" s="6"/>
      <c r="E100" s="6"/>
      <c r="F100" s="4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2"/>
      <c r="B101" s="32"/>
      <c r="C101" s="31"/>
      <c r="D101" s="32"/>
      <c r="E101" s="32"/>
      <c r="F101" s="31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6"/>
      <c r="B102" s="6"/>
      <c r="C102" s="4"/>
      <c r="D102" s="6"/>
      <c r="E102" s="6"/>
      <c r="F102" s="4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2"/>
      <c r="B103" s="32"/>
      <c r="C103" s="31"/>
      <c r="D103" s="32"/>
      <c r="E103" s="32"/>
      <c r="F103" s="31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6"/>
      <c r="B104" s="6"/>
      <c r="C104" s="4"/>
      <c r="D104" s="6"/>
      <c r="E104" s="6"/>
      <c r="F104" s="4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2"/>
      <c r="B105" s="32"/>
      <c r="C105" s="31"/>
      <c r="D105" s="32"/>
      <c r="E105" s="32"/>
      <c r="F105" s="31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6"/>
      <c r="B106" s="6"/>
      <c r="C106" s="4"/>
      <c r="D106" s="6"/>
      <c r="E106" s="6"/>
      <c r="F106" s="4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2"/>
      <c r="B107" s="32"/>
      <c r="C107" s="31"/>
      <c r="D107" s="32"/>
      <c r="E107" s="32"/>
      <c r="F107" s="31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6"/>
      <c r="B108" s="6"/>
      <c r="C108" s="4"/>
      <c r="D108" s="6"/>
      <c r="E108" s="6"/>
      <c r="F108" s="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32"/>
      <c r="B109" s="32"/>
      <c r="C109" s="31"/>
      <c r="D109" s="32"/>
      <c r="E109" s="32"/>
      <c r="F109" s="31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6"/>
      <c r="B110" s="6"/>
      <c r="C110" s="4"/>
      <c r="D110" s="6"/>
      <c r="E110" s="6"/>
      <c r="F110" s="4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2"/>
      <c r="B111" s="32"/>
      <c r="C111" s="31"/>
      <c r="D111" s="32"/>
      <c r="E111" s="32"/>
      <c r="F111" s="31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6"/>
      <c r="B112" s="6"/>
      <c r="C112" s="4"/>
      <c r="D112" s="6"/>
      <c r="E112" s="6"/>
      <c r="F112" s="4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32"/>
      <c r="B113" s="32"/>
      <c r="C113" s="31"/>
      <c r="D113" s="32"/>
      <c r="E113" s="32"/>
      <c r="F113" s="31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6"/>
      <c r="B114" s="6"/>
      <c r="C114" s="4"/>
      <c r="D114" s="6"/>
      <c r="E114" s="6"/>
      <c r="F114" s="4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32"/>
      <c r="B115" s="32"/>
      <c r="C115" s="31"/>
      <c r="D115" s="32"/>
      <c r="E115" s="32"/>
      <c r="F115" s="31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6"/>
      <c r="B116" s="6"/>
      <c r="C116" s="4"/>
      <c r="D116" s="6"/>
      <c r="E116" s="6"/>
      <c r="F116" s="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2"/>
      <c r="B117" s="32"/>
      <c r="C117" s="31"/>
      <c r="D117" s="32"/>
      <c r="E117" s="32"/>
      <c r="F117" s="31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6"/>
      <c r="B118" s="6"/>
      <c r="C118" s="4"/>
      <c r="D118" s="6"/>
      <c r="E118" s="6"/>
      <c r="F118" s="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32"/>
      <c r="B119" s="32"/>
      <c r="C119" s="31"/>
      <c r="D119" s="32"/>
      <c r="E119" s="32"/>
      <c r="F119" s="31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6"/>
      <c r="B120" s="6"/>
      <c r="C120" s="4"/>
      <c r="D120" s="6"/>
      <c r="E120" s="6"/>
      <c r="F120" s="4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32"/>
      <c r="B121" s="32"/>
      <c r="C121" s="31"/>
      <c r="D121" s="32"/>
      <c r="E121" s="32"/>
      <c r="F121" s="31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6"/>
      <c r="B122" s="6"/>
      <c r="C122" s="4"/>
      <c r="D122" s="6"/>
      <c r="E122" s="6"/>
      <c r="F122" s="4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32"/>
      <c r="B123" s="32"/>
      <c r="C123" s="31"/>
      <c r="D123" s="32"/>
      <c r="E123" s="32"/>
      <c r="F123" s="31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6"/>
      <c r="B124" s="6"/>
      <c r="C124" s="4"/>
      <c r="D124" s="6"/>
      <c r="E124" s="6"/>
      <c r="F124" s="4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2"/>
      <c r="B125" s="32"/>
      <c r="C125" s="31"/>
      <c r="D125" s="32"/>
      <c r="E125" s="32"/>
      <c r="F125" s="31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6"/>
      <c r="B126" s="6"/>
      <c r="C126" s="4"/>
      <c r="D126" s="6"/>
      <c r="E126" s="6"/>
      <c r="F126" s="4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32"/>
      <c r="B127" s="32"/>
      <c r="C127" s="31"/>
      <c r="D127" s="32"/>
      <c r="E127" s="32"/>
      <c r="F127" s="31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6"/>
      <c r="B128" s="6"/>
      <c r="C128" s="4"/>
      <c r="D128" s="6"/>
      <c r="E128" s="6"/>
      <c r="F128" s="4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32"/>
      <c r="B129" s="32"/>
      <c r="C129" s="31"/>
      <c r="D129" s="32"/>
      <c r="E129" s="32"/>
      <c r="F129" s="31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6"/>
      <c r="B130" s="6"/>
      <c r="C130" s="4"/>
      <c r="D130" s="6"/>
      <c r="E130" s="6"/>
      <c r="F130" s="4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2"/>
      <c r="B131" s="32"/>
      <c r="C131" s="31"/>
      <c r="D131" s="32"/>
      <c r="E131" s="32"/>
      <c r="F131" s="31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6"/>
      <c r="B132" s="6"/>
      <c r="C132" s="4"/>
      <c r="D132" s="6"/>
      <c r="E132" s="6"/>
      <c r="F132" s="4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32"/>
      <c r="B133" s="32"/>
      <c r="C133" s="31"/>
      <c r="D133" s="32"/>
      <c r="E133" s="32"/>
      <c r="F133" s="31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6"/>
      <c r="B134" s="6"/>
      <c r="C134" s="4"/>
      <c r="D134" s="6"/>
      <c r="E134" s="6"/>
      <c r="F134" s="4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2"/>
      <c r="B135" s="32"/>
      <c r="C135" s="31"/>
      <c r="D135" s="32"/>
      <c r="E135" s="32"/>
      <c r="F135" s="31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6"/>
      <c r="B136" s="6"/>
      <c r="C136" s="4"/>
      <c r="D136" s="6"/>
      <c r="E136" s="6"/>
      <c r="F136" s="4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32"/>
      <c r="B137" s="32"/>
      <c r="C137" s="31"/>
      <c r="D137" s="32"/>
      <c r="E137" s="32"/>
      <c r="F137" s="31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6"/>
      <c r="B138" s="6"/>
      <c r="C138" s="4"/>
      <c r="D138" s="6"/>
      <c r="E138" s="6"/>
      <c r="F138" s="4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32"/>
      <c r="B139" s="32"/>
      <c r="C139" s="31"/>
      <c r="D139" s="32"/>
      <c r="E139" s="32"/>
      <c r="F139" s="31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6"/>
      <c r="B140" s="6"/>
      <c r="C140" s="4"/>
      <c r="D140" s="6"/>
      <c r="E140" s="6"/>
      <c r="F140" s="4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32"/>
      <c r="B141" s="32"/>
      <c r="C141" s="31"/>
      <c r="D141" s="32"/>
      <c r="E141" s="32"/>
      <c r="F141" s="31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6"/>
      <c r="B142" s="6"/>
      <c r="C142" s="4"/>
      <c r="D142" s="6"/>
      <c r="E142" s="6"/>
      <c r="F142" s="4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32"/>
      <c r="B143" s="32"/>
      <c r="C143" s="31"/>
      <c r="D143" s="32"/>
      <c r="E143" s="32"/>
      <c r="F143" s="31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6"/>
      <c r="B144" s="6"/>
      <c r="C144" s="4"/>
      <c r="D144" s="6"/>
      <c r="E144" s="6"/>
      <c r="F144" s="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32"/>
      <c r="B145" s="32"/>
      <c r="C145" s="31"/>
      <c r="D145" s="32"/>
      <c r="E145" s="32"/>
      <c r="F145" s="31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6"/>
      <c r="B146" s="6"/>
      <c r="C146" s="4"/>
      <c r="D146" s="6"/>
      <c r="E146" s="6"/>
      <c r="F146" s="4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32"/>
      <c r="B147" s="32"/>
      <c r="C147" s="31"/>
      <c r="D147" s="32"/>
      <c r="E147" s="32"/>
      <c r="F147" s="31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6"/>
      <c r="B148" s="6"/>
      <c r="C148" s="4"/>
      <c r="D148" s="6"/>
      <c r="E148" s="6"/>
      <c r="F148" s="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32"/>
      <c r="B149" s="32"/>
      <c r="C149" s="31"/>
      <c r="D149" s="32"/>
      <c r="E149" s="32"/>
      <c r="F149" s="31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6"/>
      <c r="B150" s="6"/>
      <c r="C150" s="4"/>
      <c r="D150" s="6"/>
      <c r="E150" s="6"/>
      <c r="F150" s="4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32"/>
      <c r="B151" s="32"/>
      <c r="C151" s="31"/>
      <c r="D151" s="32"/>
      <c r="E151" s="32"/>
      <c r="F151" s="31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6"/>
      <c r="B152" s="6"/>
      <c r="C152" s="4"/>
      <c r="D152" s="6"/>
      <c r="E152" s="6"/>
      <c r="F152" s="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32"/>
      <c r="B153" s="32"/>
      <c r="C153" s="31"/>
      <c r="D153" s="32"/>
      <c r="E153" s="32"/>
      <c r="F153" s="31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6"/>
      <c r="B154" s="6"/>
      <c r="C154" s="4"/>
      <c r="D154" s="6"/>
      <c r="E154" s="6"/>
      <c r="F154" s="4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32"/>
      <c r="B155" s="32"/>
      <c r="C155" s="31"/>
      <c r="D155" s="32"/>
      <c r="E155" s="32"/>
      <c r="F155" s="31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6"/>
      <c r="B156" s="6"/>
      <c r="C156" s="4"/>
      <c r="D156" s="6"/>
      <c r="E156" s="6"/>
      <c r="F156" s="4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32"/>
      <c r="B157" s="32"/>
      <c r="C157" s="31"/>
      <c r="D157" s="32"/>
      <c r="E157" s="32"/>
      <c r="F157" s="31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6"/>
      <c r="B158" s="6"/>
      <c r="C158" s="6"/>
      <c r="D158" s="6"/>
      <c r="E158" s="6"/>
      <c r="F158" s="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32"/>
      <c r="B159" s="32"/>
      <c r="C159" s="32"/>
      <c r="D159" s="32"/>
      <c r="E159" s="32"/>
      <c r="F159" s="31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6"/>
      <c r="B160" s="6"/>
      <c r="C160" s="6"/>
      <c r="D160" s="6"/>
      <c r="E160" s="6"/>
      <c r="F160" s="4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32"/>
      <c r="B161" s="32"/>
      <c r="C161" s="32"/>
      <c r="D161" s="32"/>
      <c r="E161" s="32"/>
      <c r="F161" s="31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6"/>
      <c r="B162" s="6"/>
      <c r="C162" s="6"/>
      <c r="D162" s="6"/>
      <c r="E162" s="6"/>
      <c r="F162" s="4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32"/>
      <c r="B163" s="32"/>
      <c r="C163" s="32"/>
      <c r="D163" s="32"/>
      <c r="E163" s="32"/>
      <c r="F163" s="31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6"/>
      <c r="B164" s="6"/>
      <c r="C164" s="6"/>
      <c r="D164" s="6"/>
      <c r="E164" s="6"/>
      <c r="F164" s="4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32"/>
      <c r="B165" s="32"/>
      <c r="C165" s="32"/>
      <c r="D165" s="32"/>
      <c r="E165" s="32"/>
      <c r="F165" s="31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6"/>
      <c r="B166" s="6"/>
      <c r="C166" s="6"/>
      <c r="D166" s="6"/>
      <c r="E166" s="6"/>
      <c r="F166" s="4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32"/>
      <c r="B167" s="32"/>
      <c r="C167" s="32"/>
      <c r="D167" s="32"/>
      <c r="E167" s="32"/>
      <c r="F167" s="31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6"/>
      <c r="B168" s="6"/>
      <c r="C168" s="6"/>
      <c r="D168" s="6"/>
      <c r="E168" s="6"/>
      <c r="F168" s="4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32"/>
      <c r="B169" s="32"/>
      <c r="C169" s="32"/>
      <c r="D169" s="32"/>
      <c r="E169" s="32"/>
      <c r="F169" s="31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6"/>
      <c r="B170" s="6"/>
      <c r="C170" s="6"/>
      <c r="D170" s="6"/>
      <c r="E170" s="6"/>
      <c r="F170" s="4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32"/>
      <c r="B171" s="32"/>
      <c r="C171" s="32"/>
      <c r="D171" s="32"/>
      <c r="E171" s="32"/>
      <c r="F171" s="31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6"/>
      <c r="B172" s="6"/>
      <c r="C172" s="6"/>
      <c r="D172" s="6"/>
      <c r="E172" s="6"/>
      <c r="F172" s="4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32"/>
      <c r="B173" s="32"/>
      <c r="C173" s="32"/>
      <c r="D173" s="32"/>
      <c r="E173" s="32"/>
      <c r="F173" s="31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6"/>
      <c r="B174" s="6"/>
      <c r="C174" s="6"/>
      <c r="D174" s="6"/>
      <c r="E174" s="6"/>
      <c r="F174" s="4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32"/>
      <c r="B175" s="32"/>
      <c r="C175" s="32"/>
      <c r="D175" s="32"/>
      <c r="E175" s="32"/>
      <c r="F175" s="31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6"/>
      <c r="B176" s="6"/>
      <c r="C176" s="6"/>
      <c r="D176" s="6"/>
      <c r="E176" s="6"/>
      <c r="F176" s="4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32"/>
      <c r="B177" s="32"/>
      <c r="C177" s="32"/>
      <c r="D177" s="32"/>
      <c r="E177" s="32"/>
      <c r="F177" s="31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</row>
    <row r="1020">
      <c r="A1020" s="33"/>
      <c r="B1020" s="33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</row>
  </sheetData>
  <autoFilter ref="$A$1:$Z$30"/>
  <conditionalFormatting sqref="C1:C1020 F21:F1020">
    <cfRule type="containsText" dxfId="0" priority="1" operator="containsText" text="Rare">
      <formula>NOT(ISERROR(SEARCH(("Rare"),(C1))))</formula>
    </cfRule>
  </conditionalFormatting>
  <conditionalFormatting sqref="C1:C1020 F21:F1020">
    <cfRule type="containsText" dxfId="1" priority="2" operator="containsText" text="Legendary">
      <formula>NOT(ISERROR(SEARCH(("Legendary"),(C1))))</formula>
    </cfRule>
  </conditionalFormatting>
  <conditionalFormatting sqref="C1:C1020 F21:F1020">
    <cfRule type="containsText" dxfId="2" priority="3" operator="containsText" text="Mythic">
      <formula>NOT(ISERROR(SEARCH(("Mythic"),(C1))))</formula>
    </cfRule>
  </conditionalFormatting>
  <conditionalFormatting sqref="C1:C1020 F21:F1020">
    <cfRule type="containsText" dxfId="3" priority="4" operator="containsText" text="Uncommon">
      <formula>NOT(ISERROR(SEARCH(("Uncommon"),(C1))))</formula>
    </cfRule>
  </conditionalFormatting>
  <conditionalFormatting sqref="C1:C1020 F21:F1020">
    <cfRule type="containsText" dxfId="4" priority="5" operator="containsText" text="Common">
      <formula>NOT(ISERROR(SEARCH(("Common"),(C1))))</formula>
    </cfRule>
  </conditionalFormatting>
  <conditionalFormatting sqref="C1:C1020 F21:F1020">
    <cfRule type="containsText" dxfId="5" priority="6" operator="containsText" text="Demonic">
      <formula>NOT(ISERROR(SEARCH(("Demonic"),(C1))))</formula>
    </cfRule>
  </conditionalFormatting>
  <conditionalFormatting sqref="C1:C1020 F21:F1020">
    <cfRule type="containsText" dxfId="6" priority="7" operator="containsText" text="Epic">
      <formula>NOT(ISERROR(SEARCH(("Epic"),(C1))))</formula>
    </cfRule>
  </conditionalFormatting>
  <conditionalFormatting sqref="C1:C1020 F21:F1020">
    <cfRule type="containsText" dxfId="7" priority="8" operator="containsText" text="Ancient">
      <formula>NOT(ISERROR(SEARCH(("Ancient"),(C1))))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  <col customWidth="1" min="6" max="6" width="16.0"/>
    <col customWidth="1" min="7" max="7" width="21.5"/>
  </cols>
  <sheetData>
    <row r="1">
      <c r="A1" s="34" t="s">
        <v>612</v>
      </c>
      <c r="B1" s="35"/>
      <c r="C1" s="36"/>
      <c r="D1" s="35"/>
      <c r="E1" s="36"/>
      <c r="F1" s="36"/>
      <c r="G1" s="36"/>
      <c r="I1" s="37" t="s">
        <v>613</v>
      </c>
      <c r="Q1" s="37" t="s">
        <v>614</v>
      </c>
    </row>
    <row r="2">
      <c r="A2" s="35" t="s">
        <v>615</v>
      </c>
      <c r="B2" s="35" t="s">
        <v>616</v>
      </c>
      <c r="C2" s="36" t="s">
        <v>617</v>
      </c>
      <c r="D2" s="35" t="s">
        <v>618</v>
      </c>
      <c r="E2" s="36" t="s">
        <v>619</v>
      </c>
      <c r="F2" s="36" t="s">
        <v>620</v>
      </c>
      <c r="G2" s="36" t="s">
        <v>621</v>
      </c>
      <c r="I2" s="34" t="s">
        <v>615</v>
      </c>
      <c r="J2" s="34" t="s">
        <v>616</v>
      </c>
      <c r="K2" s="38" t="s">
        <v>617</v>
      </c>
      <c r="L2" s="34" t="s">
        <v>618</v>
      </c>
      <c r="M2" s="38" t="s">
        <v>619</v>
      </c>
      <c r="N2" s="38" t="s">
        <v>620</v>
      </c>
      <c r="O2" s="38" t="s">
        <v>621</v>
      </c>
      <c r="Q2" s="37" t="s">
        <v>622</v>
      </c>
      <c r="R2" s="37" t="s">
        <v>623</v>
      </c>
      <c r="S2" s="37" t="s">
        <v>624</v>
      </c>
      <c r="T2" s="37" t="s">
        <v>625</v>
      </c>
      <c r="U2" s="37" t="s">
        <v>626</v>
      </c>
      <c r="V2" s="37" t="s">
        <v>627</v>
      </c>
      <c r="W2" s="37" t="s">
        <v>628</v>
      </c>
    </row>
    <row r="3">
      <c r="A3" s="39">
        <v>1.0</v>
      </c>
      <c r="B3" s="39">
        <v>90.0</v>
      </c>
      <c r="C3" s="40">
        <v>15000.0</v>
      </c>
      <c r="D3" s="39">
        <f t="shared" ref="D3:D26" si="1">1/B3*100</f>
        <v>1.111111111</v>
      </c>
      <c r="E3" s="40">
        <f t="shared" ref="E3:E26" si="2">(1/B3*100)*C3</f>
        <v>16666.66667</v>
      </c>
      <c r="F3" s="40">
        <f t="shared" ref="F3:F26" si="3">(E3+G3)/2</f>
        <v>25000</v>
      </c>
      <c r="G3" s="40">
        <f t="shared" ref="G3:G26" si="4">E3*2</f>
        <v>33333.33333</v>
      </c>
      <c r="I3" s="41">
        <v>1.0</v>
      </c>
      <c r="J3" s="41">
        <v>100.0</v>
      </c>
      <c r="K3" s="42">
        <v>15000.0</v>
      </c>
      <c r="L3" s="41">
        <v>1.0</v>
      </c>
      <c r="M3" s="42">
        <v>15000.0</v>
      </c>
      <c r="N3" s="42">
        <v>22500.0</v>
      </c>
      <c r="O3" s="42">
        <v>30000.0</v>
      </c>
      <c r="Q3" s="37">
        <v>1.0</v>
      </c>
      <c r="R3" s="37">
        <v>100.0</v>
      </c>
      <c r="S3" s="43">
        <v>10499.0</v>
      </c>
      <c r="T3" s="37">
        <v>1.0</v>
      </c>
      <c r="U3" s="43">
        <v>10499.0</v>
      </c>
      <c r="V3" s="43">
        <v>15749.0</v>
      </c>
      <c r="W3" s="44">
        <v>20998.0</v>
      </c>
    </row>
    <row r="4">
      <c r="A4" s="39">
        <f t="shared" ref="A4:A26" si="5">A3+1</f>
        <v>2</v>
      </c>
      <c r="B4" s="39">
        <v>80.0</v>
      </c>
      <c r="C4" s="40">
        <v>30000.0</v>
      </c>
      <c r="D4" s="39">
        <f t="shared" si="1"/>
        <v>1.25</v>
      </c>
      <c r="E4" s="40">
        <f t="shared" si="2"/>
        <v>37500</v>
      </c>
      <c r="F4" s="40">
        <f t="shared" si="3"/>
        <v>56250</v>
      </c>
      <c r="G4" s="40">
        <f t="shared" si="4"/>
        <v>75000</v>
      </c>
      <c r="I4" s="41">
        <v>2.0</v>
      </c>
      <c r="J4" s="41">
        <v>100.0</v>
      </c>
      <c r="K4" s="42">
        <v>30000.0</v>
      </c>
      <c r="L4" s="41">
        <v>1.0</v>
      </c>
      <c r="M4" s="42">
        <v>30000.0</v>
      </c>
      <c r="N4" s="42">
        <v>45000.0</v>
      </c>
      <c r="O4" s="42">
        <v>60000.0</v>
      </c>
      <c r="Q4" s="37">
        <v>2.0</v>
      </c>
      <c r="R4" s="37">
        <v>100.0</v>
      </c>
      <c r="S4" s="43">
        <v>20999.0</v>
      </c>
      <c r="T4" s="37">
        <v>1.0</v>
      </c>
      <c r="U4" s="43">
        <v>20999.0</v>
      </c>
      <c r="V4" s="43">
        <v>31499.0</v>
      </c>
      <c r="W4" s="44">
        <v>41998.0</v>
      </c>
    </row>
    <row r="5">
      <c r="A5" s="39">
        <f t="shared" si="5"/>
        <v>3</v>
      </c>
      <c r="B5" s="39">
        <v>70.0</v>
      </c>
      <c r="C5" s="40">
        <v>45000.0</v>
      </c>
      <c r="D5" s="39">
        <f t="shared" si="1"/>
        <v>1.428571429</v>
      </c>
      <c r="E5" s="40">
        <f t="shared" si="2"/>
        <v>64285.71429</v>
      </c>
      <c r="F5" s="40">
        <f t="shared" si="3"/>
        <v>96428.57143</v>
      </c>
      <c r="G5" s="40">
        <f t="shared" si="4"/>
        <v>128571.4286</v>
      </c>
      <c r="I5" s="41">
        <v>3.0</v>
      </c>
      <c r="J5" s="41">
        <v>100.0</v>
      </c>
      <c r="K5" s="42">
        <v>45000.0</v>
      </c>
      <c r="L5" s="41">
        <v>1.0</v>
      </c>
      <c r="M5" s="42">
        <v>45000.0</v>
      </c>
      <c r="N5" s="42">
        <v>67500.0</v>
      </c>
      <c r="O5" s="42">
        <v>90000.0</v>
      </c>
      <c r="Q5" s="37">
        <v>3.0</v>
      </c>
      <c r="R5" s="37">
        <v>100.0</v>
      </c>
      <c r="S5" s="43">
        <v>31499.0</v>
      </c>
      <c r="T5" s="37">
        <v>1.0</v>
      </c>
      <c r="U5" s="43">
        <v>31499.0</v>
      </c>
      <c r="V5" s="43">
        <v>47249.0</v>
      </c>
      <c r="W5" s="44">
        <v>62998.0</v>
      </c>
    </row>
    <row r="6">
      <c r="A6" s="39">
        <f t="shared" si="5"/>
        <v>4</v>
      </c>
      <c r="B6" s="39">
        <v>60.0</v>
      </c>
      <c r="C6" s="40">
        <v>60000.0</v>
      </c>
      <c r="D6" s="39">
        <f t="shared" si="1"/>
        <v>1.666666667</v>
      </c>
      <c r="E6" s="40">
        <f t="shared" si="2"/>
        <v>100000</v>
      </c>
      <c r="F6" s="40">
        <f t="shared" si="3"/>
        <v>150000</v>
      </c>
      <c r="G6" s="40">
        <f t="shared" si="4"/>
        <v>200000</v>
      </c>
      <c r="I6" s="41">
        <v>4.0</v>
      </c>
      <c r="J6" s="41">
        <v>100.0</v>
      </c>
      <c r="K6" s="42">
        <v>60000.0</v>
      </c>
      <c r="L6" s="41">
        <v>1.0</v>
      </c>
      <c r="M6" s="42">
        <v>60000.0</v>
      </c>
      <c r="N6" s="42">
        <v>90000.0</v>
      </c>
      <c r="O6" s="42">
        <v>120000.0</v>
      </c>
      <c r="Q6" s="37">
        <v>4.0</v>
      </c>
      <c r="R6" s="37">
        <v>100.0</v>
      </c>
      <c r="S6" s="43">
        <v>41999.0</v>
      </c>
      <c r="T6" s="37">
        <v>1.0</v>
      </c>
      <c r="U6" s="43">
        <v>41999.0</v>
      </c>
      <c r="V6" s="43">
        <v>62999.0</v>
      </c>
      <c r="W6" s="44">
        <v>83998.0</v>
      </c>
    </row>
    <row r="7">
      <c r="A7" s="39">
        <f t="shared" si="5"/>
        <v>5</v>
      </c>
      <c r="B7" s="39">
        <v>50.0</v>
      </c>
      <c r="C7" s="40">
        <f t="shared" ref="C7:C26" si="6">C6+15000</f>
        <v>75000</v>
      </c>
      <c r="D7" s="39">
        <f t="shared" si="1"/>
        <v>2</v>
      </c>
      <c r="E7" s="40">
        <f t="shared" si="2"/>
        <v>150000</v>
      </c>
      <c r="F7" s="40">
        <f t="shared" si="3"/>
        <v>225000</v>
      </c>
      <c r="G7" s="40">
        <f t="shared" si="4"/>
        <v>300000</v>
      </c>
      <c r="I7" s="41">
        <v>5.0</v>
      </c>
      <c r="J7" s="41">
        <v>100.0</v>
      </c>
      <c r="K7" s="42">
        <v>75000.0</v>
      </c>
      <c r="L7" s="41">
        <v>1.0</v>
      </c>
      <c r="M7" s="42">
        <v>75000.0</v>
      </c>
      <c r="N7" s="42">
        <v>112500.0</v>
      </c>
      <c r="O7" s="42">
        <v>150000.0</v>
      </c>
      <c r="Q7" s="37">
        <v>5.0</v>
      </c>
      <c r="R7" s="37">
        <v>100.0</v>
      </c>
      <c r="S7" s="43">
        <v>52499.0</v>
      </c>
      <c r="T7" s="37">
        <v>1.0</v>
      </c>
      <c r="U7" s="43">
        <v>52499.0</v>
      </c>
      <c r="V7" s="43">
        <v>78749.0</v>
      </c>
      <c r="W7" s="44">
        <v>104998.0</v>
      </c>
    </row>
    <row r="8">
      <c r="A8" s="39">
        <f t="shared" si="5"/>
        <v>6</v>
      </c>
      <c r="B8" s="39">
        <v>40.0</v>
      </c>
      <c r="C8" s="40">
        <f t="shared" si="6"/>
        <v>90000</v>
      </c>
      <c r="D8" s="39">
        <f t="shared" si="1"/>
        <v>2.5</v>
      </c>
      <c r="E8" s="40">
        <f t="shared" si="2"/>
        <v>225000</v>
      </c>
      <c r="F8" s="40">
        <f t="shared" si="3"/>
        <v>337500</v>
      </c>
      <c r="G8" s="40">
        <f t="shared" si="4"/>
        <v>450000</v>
      </c>
      <c r="I8" s="41">
        <v>6.0</v>
      </c>
      <c r="J8" s="41">
        <v>80.0</v>
      </c>
      <c r="K8" s="42">
        <v>90000.0</v>
      </c>
      <c r="L8" s="41">
        <v>1.25</v>
      </c>
      <c r="M8" s="42">
        <v>112500.0</v>
      </c>
      <c r="N8" s="42">
        <v>168750.0</v>
      </c>
      <c r="O8" s="42">
        <v>225000.0</v>
      </c>
      <c r="Q8" s="37">
        <v>6.0</v>
      </c>
      <c r="R8" s="37">
        <v>100.0</v>
      </c>
      <c r="S8" s="43">
        <v>62999.0</v>
      </c>
      <c r="T8" s="37">
        <v>1.0</v>
      </c>
      <c r="U8" s="43">
        <v>62999.0</v>
      </c>
      <c r="V8" s="43">
        <v>94499.0</v>
      </c>
      <c r="W8" s="44">
        <v>125998.0</v>
      </c>
    </row>
    <row r="9">
      <c r="A9" s="39">
        <f t="shared" si="5"/>
        <v>7</v>
      </c>
      <c r="B9" s="39">
        <v>30.0</v>
      </c>
      <c r="C9" s="40">
        <f t="shared" si="6"/>
        <v>105000</v>
      </c>
      <c r="D9" s="39">
        <f t="shared" si="1"/>
        <v>3.333333333</v>
      </c>
      <c r="E9" s="40">
        <f t="shared" si="2"/>
        <v>350000</v>
      </c>
      <c r="F9" s="40">
        <f t="shared" si="3"/>
        <v>525000</v>
      </c>
      <c r="G9" s="40">
        <f t="shared" si="4"/>
        <v>700000</v>
      </c>
      <c r="I9" s="41">
        <v>7.0</v>
      </c>
      <c r="J9" s="41">
        <v>60.0</v>
      </c>
      <c r="K9" s="42">
        <v>105000.0</v>
      </c>
      <c r="L9" s="41">
        <v>1.666666667</v>
      </c>
      <c r="M9" s="42">
        <v>175000.0</v>
      </c>
      <c r="N9" s="42">
        <v>262500.0</v>
      </c>
      <c r="O9" s="42">
        <v>350000.0</v>
      </c>
      <c r="Q9" s="37">
        <v>7.0</v>
      </c>
      <c r="R9" s="37">
        <v>100.0</v>
      </c>
      <c r="S9" s="43">
        <v>73499.0</v>
      </c>
      <c r="T9" s="37">
        <v>1.0</v>
      </c>
      <c r="U9" s="43">
        <v>73499.0</v>
      </c>
      <c r="V9" s="43">
        <v>110249.0</v>
      </c>
      <c r="W9" s="44">
        <v>146998.0</v>
      </c>
    </row>
    <row r="10">
      <c r="A10" s="39">
        <f t="shared" si="5"/>
        <v>8</v>
      </c>
      <c r="B10" s="39">
        <v>20.0</v>
      </c>
      <c r="C10" s="40">
        <f t="shared" si="6"/>
        <v>120000</v>
      </c>
      <c r="D10" s="39">
        <f t="shared" si="1"/>
        <v>5</v>
      </c>
      <c r="E10" s="40">
        <f t="shared" si="2"/>
        <v>600000</v>
      </c>
      <c r="F10" s="40">
        <f t="shared" si="3"/>
        <v>900000</v>
      </c>
      <c r="G10" s="40">
        <f t="shared" si="4"/>
        <v>1200000</v>
      </c>
      <c r="I10" s="41">
        <v>8.0</v>
      </c>
      <c r="J10" s="41">
        <v>40.0</v>
      </c>
      <c r="K10" s="42">
        <v>120000.0</v>
      </c>
      <c r="L10" s="41">
        <v>2.5</v>
      </c>
      <c r="M10" s="42">
        <v>300000.0</v>
      </c>
      <c r="N10" s="42">
        <v>450000.0</v>
      </c>
      <c r="O10" s="42">
        <v>600000.0</v>
      </c>
      <c r="Q10" s="37">
        <v>8.0</v>
      </c>
      <c r="R10" s="37">
        <v>80.0</v>
      </c>
      <c r="S10" s="43">
        <v>83999.0</v>
      </c>
      <c r="T10" s="37">
        <v>1.25</v>
      </c>
      <c r="U10" s="43">
        <v>104999.0</v>
      </c>
      <c r="V10" s="43">
        <v>157498.0</v>
      </c>
      <c r="W10" s="44">
        <v>209997.5</v>
      </c>
    </row>
    <row r="11">
      <c r="A11" s="39">
        <f t="shared" si="5"/>
        <v>9</v>
      </c>
      <c r="B11" s="39">
        <v>10.0</v>
      </c>
      <c r="C11" s="40">
        <f t="shared" si="6"/>
        <v>135000</v>
      </c>
      <c r="D11" s="39">
        <f t="shared" si="1"/>
        <v>10</v>
      </c>
      <c r="E11" s="40">
        <f t="shared" si="2"/>
        <v>1350000</v>
      </c>
      <c r="F11" s="40">
        <f t="shared" si="3"/>
        <v>2025000</v>
      </c>
      <c r="G11" s="40">
        <f t="shared" si="4"/>
        <v>2700000</v>
      </c>
      <c r="I11" s="41">
        <v>9.0</v>
      </c>
      <c r="J11" s="41">
        <v>20.0</v>
      </c>
      <c r="K11" s="42">
        <v>135000.0</v>
      </c>
      <c r="L11" s="41">
        <v>5.0</v>
      </c>
      <c r="M11" s="42">
        <v>675000.0</v>
      </c>
      <c r="N11" s="42">
        <v>1012500.0</v>
      </c>
      <c r="O11" s="42">
        <v>1350000.0</v>
      </c>
      <c r="Q11" s="37">
        <v>9.0</v>
      </c>
      <c r="R11" s="37">
        <v>40.0</v>
      </c>
      <c r="S11" s="43">
        <v>94499.0</v>
      </c>
      <c r="T11" s="37">
        <v>2.5</v>
      </c>
      <c r="U11" s="43">
        <v>236248.0</v>
      </c>
      <c r="V11" s="43">
        <v>354371.0</v>
      </c>
      <c r="W11" s="44">
        <v>472495.0</v>
      </c>
    </row>
    <row r="12">
      <c r="A12" s="39">
        <f t="shared" si="5"/>
        <v>10</v>
      </c>
      <c r="B12" s="39">
        <v>5.0</v>
      </c>
      <c r="C12" s="40">
        <f t="shared" si="6"/>
        <v>150000</v>
      </c>
      <c r="D12" s="39">
        <f t="shared" si="1"/>
        <v>20</v>
      </c>
      <c r="E12" s="40">
        <f t="shared" si="2"/>
        <v>3000000</v>
      </c>
      <c r="F12" s="40">
        <f t="shared" si="3"/>
        <v>4500000</v>
      </c>
      <c r="G12" s="40">
        <f t="shared" si="4"/>
        <v>6000000</v>
      </c>
      <c r="I12" s="41">
        <v>10.0</v>
      </c>
      <c r="J12" s="41">
        <v>10.0</v>
      </c>
      <c r="K12" s="42">
        <v>150000.0</v>
      </c>
      <c r="L12" s="41">
        <v>10.0</v>
      </c>
      <c r="M12" s="42">
        <v>1500000.0</v>
      </c>
      <c r="N12" s="42">
        <v>2250000.0</v>
      </c>
      <c r="O12" s="42">
        <v>3000000.0</v>
      </c>
      <c r="Q12" s="37">
        <v>10.0</v>
      </c>
      <c r="R12" s="37">
        <v>20.0</v>
      </c>
      <c r="S12" s="43">
        <v>104999.0</v>
      </c>
      <c r="T12" s="37">
        <v>5.0</v>
      </c>
      <c r="U12" s="43">
        <v>524995.0</v>
      </c>
      <c r="V12" s="43">
        <v>787493.0</v>
      </c>
      <c r="W12" s="44">
        <v>1049990.0</v>
      </c>
    </row>
    <row r="13">
      <c r="A13" s="39">
        <f t="shared" si="5"/>
        <v>11</v>
      </c>
      <c r="B13" s="39">
        <v>4.0</v>
      </c>
      <c r="C13" s="40">
        <f t="shared" si="6"/>
        <v>165000</v>
      </c>
      <c r="D13" s="39">
        <f t="shared" si="1"/>
        <v>25</v>
      </c>
      <c r="E13" s="40">
        <f t="shared" si="2"/>
        <v>4125000</v>
      </c>
      <c r="F13" s="40">
        <f t="shared" si="3"/>
        <v>6187500</v>
      </c>
      <c r="G13" s="40">
        <f t="shared" si="4"/>
        <v>8250000</v>
      </c>
      <c r="I13" s="41">
        <v>11.0</v>
      </c>
      <c r="J13" s="41">
        <v>8.0</v>
      </c>
      <c r="K13" s="42">
        <v>165000.0</v>
      </c>
      <c r="L13" s="41">
        <v>12.5</v>
      </c>
      <c r="M13" s="42">
        <v>2062500.0</v>
      </c>
      <c r="N13" s="42">
        <v>3093750.0</v>
      </c>
      <c r="O13" s="42">
        <v>4125000.0</v>
      </c>
      <c r="Q13" s="37">
        <v>11.0</v>
      </c>
      <c r="R13" s="37">
        <v>16.0</v>
      </c>
      <c r="S13" s="43">
        <v>115499.0</v>
      </c>
      <c r="T13" s="37">
        <v>6.25</v>
      </c>
      <c r="U13" s="43">
        <v>721869.0</v>
      </c>
      <c r="V13" s="43">
        <v>1082803.0</v>
      </c>
      <c r="W13" s="44">
        <v>1443737.5</v>
      </c>
    </row>
    <row r="14">
      <c r="A14" s="39">
        <f t="shared" si="5"/>
        <v>12</v>
      </c>
      <c r="B14" s="39">
        <v>3.0</v>
      </c>
      <c r="C14" s="40">
        <f t="shared" si="6"/>
        <v>180000</v>
      </c>
      <c r="D14" s="39">
        <f t="shared" si="1"/>
        <v>33.33333333</v>
      </c>
      <c r="E14" s="40">
        <f t="shared" si="2"/>
        <v>6000000</v>
      </c>
      <c r="F14" s="40">
        <f t="shared" si="3"/>
        <v>9000000</v>
      </c>
      <c r="G14" s="40">
        <f t="shared" si="4"/>
        <v>12000000</v>
      </c>
      <c r="I14" s="41">
        <v>12.0</v>
      </c>
      <c r="J14" s="41">
        <v>6.0</v>
      </c>
      <c r="K14" s="42">
        <v>180000.0</v>
      </c>
      <c r="L14" s="41">
        <v>16.66666667</v>
      </c>
      <c r="M14" s="42">
        <v>3000000.0</v>
      </c>
      <c r="N14" s="42">
        <v>4500000.0</v>
      </c>
      <c r="O14" s="42">
        <v>6000000.0</v>
      </c>
      <c r="Q14" s="37">
        <v>12.0</v>
      </c>
      <c r="R14" s="37">
        <v>12.0</v>
      </c>
      <c r="S14" s="43">
        <v>125999.0</v>
      </c>
      <c r="T14" s="37">
        <v>8.333333333</v>
      </c>
      <c r="U14" s="43">
        <v>1049992.0</v>
      </c>
      <c r="V14" s="43">
        <v>1574988.0</v>
      </c>
      <c r="W14" s="44">
        <v>2099983.33</v>
      </c>
    </row>
    <row r="15">
      <c r="A15" s="39">
        <f t="shared" si="5"/>
        <v>13</v>
      </c>
      <c r="B15" s="39">
        <v>2.0</v>
      </c>
      <c r="C15" s="40">
        <f t="shared" si="6"/>
        <v>195000</v>
      </c>
      <c r="D15" s="39">
        <f t="shared" si="1"/>
        <v>50</v>
      </c>
      <c r="E15" s="40">
        <f t="shared" si="2"/>
        <v>9750000</v>
      </c>
      <c r="F15" s="40">
        <f t="shared" si="3"/>
        <v>14625000</v>
      </c>
      <c r="G15" s="40">
        <f t="shared" si="4"/>
        <v>19500000</v>
      </c>
      <c r="I15" s="41">
        <v>13.0</v>
      </c>
      <c r="J15" s="41">
        <v>4.0</v>
      </c>
      <c r="K15" s="42">
        <v>195000.0</v>
      </c>
      <c r="L15" s="41">
        <v>25.0</v>
      </c>
      <c r="M15" s="42">
        <v>4875000.0</v>
      </c>
      <c r="N15" s="42">
        <v>7312500.0</v>
      </c>
      <c r="O15" s="42">
        <v>9750000.0</v>
      </c>
      <c r="Q15" s="37">
        <v>13.0</v>
      </c>
      <c r="R15" s="37">
        <v>8.0</v>
      </c>
      <c r="S15" s="43">
        <v>136499.0</v>
      </c>
      <c r="T15" s="37">
        <v>12.5</v>
      </c>
      <c r="U15" s="43">
        <v>1706238.0</v>
      </c>
      <c r="V15" s="43">
        <v>2559356.0</v>
      </c>
      <c r="W15" s="44">
        <v>3412475.0</v>
      </c>
    </row>
    <row r="16">
      <c r="A16" s="39">
        <f t="shared" si="5"/>
        <v>14</v>
      </c>
      <c r="B16" s="39">
        <v>1.0</v>
      </c>
      <c r="C16" s="40">
        <f t="shared" si="6"/>
        <v>210000</v>
      </c>
      <c r="D16" s="39">
        <f t="shared" si="1"/>
        <v>100</v>
      </c>
      <c r="E16" s="40">
        <f t="shared" si="2"/>
        <v>21000000</v>
      </c>
      <c r="F16" s="40">
        <f t="shared" si="3"/>
        <v>31500000</v>
      </c>
      <c r="G16" s="40">
        <f t="shared" si="4"/>
        <v>42000000</v>
      </c>
      <c r="I16" s="41">
        <v>14.0</v>
      </c>
      <c r="J16" s="41">
        <v>2.0</v>
      </c>
      <c r="K16" s="42">
        <v>210000.0</v>
      </c>
      <c r="L16" s="41">
        <v>50.0</v>
      </c>
      <c r="M16" s="42">
        <v>1.05E7</v>
      </c>
      <c r="N16" s="42">
        <v>1.575E7</v>
      </c>
      <c r="O16" s="42">
        <v>2.1E7</v>
      </c>
      <c r="Q16" s="37">
        <v>14.0</v>
      </c>
      <c r="R16" s="37">
        <v>4.0</v>
      </c>
      <c r="S16" s="43">
        <v>146999.0</v>
      </c>
      <c r="T16" s="37">
        <v>25.0</v>
      </c>
      <c r="U16" s="43">
        <v>3674975.0</v>
      </c>
      <c r="V16" s="43">
        <v>5512463.0</v>
      </c>
      <c r="W16" s="44">
        <v>7349950.0</v>
      </c>
    </row>
    <row r="17">
      <c r="A17" s="39">
        <f t="shared" si="5"/>
        <v>15</v>
      </c>
      <c r="B17" s="39">
        <v>0.8</v>
      </c>
      <c r="C17" s="40">
        <f t="shared" si="6"/>
        <v>225000</v>
      </c>
      <c r="D17" s="39">
        <f t="shared" si="1"/>
        <v>125</v>
      </c>
      <c r="E17" s="40">
        <f t="shared" si="2"/>
        <v>28125000</v>
      </c>
      <c r="F17" s="40">
        <f t="shared" si="3"/>
        <v>42187500</v>
      </c>
      <c r="G17" s="40">
        <f t="shared" si="4"/>
        <v>56250000</v>
      </c>
      <c r="I17" s="41">
        <v>15.0</v>
      </c>
      <c r="J17" s="41">
        <v>1.6</v>
      </c>
      <c r="K17" s="42">
        <v>225000.0</v>
      </c>
      <c r="L17" s="41">
        <v>62.5</v>
      </c>
      <c r="M17" s="42">
        <v>1.40625E7</v>
      </c>
      <c r="N17" s="42">
        <v>2.109375E7</v>
      </c>
      <c r="O17" s="42">
        <v>2.8125E7</v>
      </c>
      <c r="Q17" s="37">
        <v>15.0</v>
      </c>
      <c r="R17" s="37">
        <v>3.2</v>
      </c>
      <c r="S17" s="43">
        <v>157499.0</v>
      </c>
      <c r="T17" s="37">
        <v>31.25</v>
      </c>
      <c r="U17" s="43">
        <v>4921844.0</v>
      </c>
      <c r="V17" s="43">
        <v>7382766.0</v>
      </c>
      <c r="W17" s="44">
        <v>9843687.5</v>
      </c>
    </row>
    <row r="18">
      <c r="A18" s="39">
        <f t="shared" si="5"/>
        <v>16</v>
      </c>
      <c r="B18" s="39">
        <v>0.6</v>
      </c>
      <c r="C18" s="40">
        <f t="shared" si="6"/>
        <v>240000</v>
      </c>
      <c r="D18" s="39">
        <f t="shared" si="1"/>
        <v>166.6666667</v>
      </c>
      <c r="E18" s="40">
        <f t="shared" si="2"/>
        <v>40000000</v>
      </c>
      <c r="F18" s="40">
        <f t="shared" si="3"/>
        <v>60000000</v>
      </c>
      <c r="G18" s="40">
        <f t="shared" si="4"/>
        <v>80000000</v>
      </c>
      <c r="I18" s="41">
        <v>16.0</v>
      </c>
      <c r="J18" s="41">
        <v>1.2</v>
      </c>
      <c r="K18" s="42">
        <v>240000.0</v>
      </c>
      <c r="L18" s="41">
        <v>83.33333333</v>
      </c>
      <c r="M18" s="42">
        <v>2.0E7</v>
      </c>
      <c r="N18" s="42">
        <v>3.0E7</v>
      </c>
      <c r="O18" s="42">
        <v>4.0E7</v>
      </c>
      <c r="Q18" s="37">
        <v>16.0</v>
      </c>
      <c r="R18" s="37">
        <v>2.4</v>
      </c>
      <c r="S18" s="43">
        <v>167999.0</v>
      </c>
      <c r="T18" s="37">
        <v>41.66666667</v>
      </c>
      <c r="U18" s="43">
        <v>6999958.0</v>
      </c>
      <c r="V18" s="43">
        <v>1.0499938E7</v>
      </c>
      <c r="W18" s="44">
        <v>1.399991667E7</v>
      </c>
    </row>
    <row r="19">
      <c r="A19" s="39">
        <f t="shared" si="5"/>
        <v>17</v>
      </c>
      <c r="B19" s="39">
        <v>0.4</v>
      </c>
      <c r="C19" s="40">
        <f t="shared" si="6"/>
        <v>255000</v>
      </c>
      <c r="D19" s="39">
        <f t="shared" si="1"/>
        <v>250</v>
      </c>
      <c r="E19" s="40">
        <f t="shared" si="2"/>
        <v>63750000</v>
      </c>
      <c r="F19" s="40">
        <f t="shared" si="3"/>
        <v>95625000</v>
      </c>
      <c r="G19" s="40">
        <f t="shared" si="4"/>
        <v>127500000</v>
      </c>
      <c r="I19" s="41">
        <v>17.0</v>
      </c>
      <c r="J19" s="41">
        <v>0.8</v>
      </c>
      <c r="K19" s="42">
        <v>255000.0</v>
      </c>
      <c r="L19" s="41">
        <v>125.0</v>
      </c>
      <c r="M19" s="42">
        <v>3.1875E7</v>
      </c>
      <c r="N19" s="42">
        <v>4.78125E7</v>
      </c>
      <c r="O19" s="42">
        <v>6.375E7</v>
      </c>
      <c r="Q19" s="37">
        <v>17.0</v>
      </c>
      <c r="R19" s="37">
        <v>1.6</v>
      </c>
      <c r="S19" s="43">
        <v>178500.0</v>
      </c>
      <c r="T19" s="37">
        <v>62.5</v>
      </c>
      <c r="U19" s="43">
        <v>1.115625E7</v>
      </c>
      <c r="V19" s="43">
        <v>1.6734375E7</v>
      </c>
      <c r="W19" s="44">
        <v>2.23125E7</v>
      </c>
    </row>
    <row r="20">
      <c r="A20" s="39">
        <f t="shared" si="5"/>
        <v>18</v>
      </c>
      <c r="B20" s="39">
        <v>0.2</v>
      </c>
      <c r="C20" s="40">
        <f t="shared" si="6"/>
        <v>270000</v>
      </c>
      <c r="D20" s="39">
        <f t="shared" si="1"/>
        <v>500</v>
      </c>
      <c r="E20" s="40">
        <f t="shared" si="2"/>
        <v>135000000</v>
      </c>
      <c r="F20" s="40">
        <f t="shared" si="3"/>
        <v>202500000</v>
      </c>
      <c r="G20" s="40">
        <f t="shared" si="4"/>
        <v>270000000</v>
      </c>
      <c r="I20" s="41">
        <v>18.0</v>
      </c>
      <c r="J20" s="41">
        <v>0.4</v>
      </c>
      <c r="K20" s="42">
        <v>270000.0</v>
      </c>
      <c r="L20" s="41">
        <v>250.0</v>
      </c>
      <c r="M20" s="42">
        <v>6.75E7</v>
      </c>
      <c r="N20" s="42">
        <v>1.0125E8</v>
      </c>
      <c r="O20" s="42">
        <v>1.35E8</v>
      </c>
      <c r="Q20" s="37">
        <v>18.0</v>
      </c>
      <c r="R20" s="37">
        <v>0.8</v>
      </c>
      <c r="S20" s="43">
        <v>189000.0</v>
      </c>
      <c r="T20" s="37">
        <v>125.0</v>
      </c>
      <c r="U20" s="43">
        <v>2.3625E7</v>
      </c>
      <c r="V20" s="43">
        <v>3.54375E7</v>
      </c>
      <c r="W20" s="44">
        <v>4.725E7</v>
      </c>
    </row>
    <row r="21">
      <c r="A21" s="39">
        <f t="shared" si="5"/>
        <v>19</v>
      </c>
      <c r="B21" s="39">
        <v>0.1</v>
      </c>
      <c r="C21" s="40">
        <f t="shared" si="6"/>
        <v>285000</v>
      </c>
      <c r="D21" s="39">
        <f t="shared" si="1"/>
        <v>1000</v>
      </c>
      <c r="E21" s="40">
        <f t="shared" si="2"/>
        <v>285000000</v>
      </c>
      <c r="F21" s="40">
        <f t="shared" si="3"/>
        <v>427500000</v>
      </c>
      <c r="G21" s="40">
        <f t="shared" si="4"/>
        <v>570000000</v>
      </c>
      <c r="I21" s="41">
        <v>19.0</v>
      </c>
      <c r="J21" s="41">
        <v>0.2</v>
      </c>
      <c r="K21" s="42">
        <v>285000.0</v>
      </c>
      <c r="L21" s="41">
        <v>500.0</v>
      </c>
      <c r="M21" s="42">
        <v>1.425E8</v>
      </c>
      <c r="N21" s="42">
        <v>2.1375E8</v>
      </c>
      <c r="O21" s="42">
        <v>2.85E8</v>
      </c>
      <c r="Q21" s="37">
        <v>19.0</v>
      </c>
      <c r="R21" s="37">
        <v>0.6</v>
      </c>
      <c r="S21" s="43">
        <v>199500.0</v>
      </c>
      <c r="T21" s="37">
        <v>166.6666667</v>
      </c>
      <c r="U21" s="43">
        <v>3.325E7</v>
      </c>
      <c r="V21" s="43">
        <v>4.9875E7</v>
      </c>
      <c r="W21" s="44">
        <v>6.65E7</v>
      </c>
    </row>
    <row r="22">
      <c r="A22" s="39">
        <f t="shared" si="5"/>
        <v>20</v>
      </c>
      <c r="B22" s="39">
        <v>0.1</v>
      </c>
      <c r="C22" s="40">
        <f t="shared" si="6"/>
        <v>300000</v>
      </c>
      <c r="D22" s="39">
        <f t="shared" si="1"/>
        <v>1000</v>
      </c>
      <c r="E22" s="40">
        <f t="shared" si="2"/>
        <v>300000000</v>
      </c>
      <c r="F22" s="40">
        <f t="shared" si="3"/>
        <v>450000000</v>
      </c>
      <c r="G22" s="40">
        <f t="shared" si="4"/>
        <v>600000000</v>
      </c>
      <c r="I22" s="41">
        <v>20.0</v>
      </c>
      <c r="J22" s="41">
        <v>0.2</v>
      </c>
      <c r="K22" s="42">
        <v>300000.0</v>
      </c>
      <c r="L22" s="41">
        <v>500.0</v>
      </c>
      <c r="M22" s="42">
        <v>1.5E8</v>
      </c>
      <c r="N22" s="42">
        <v>2.25E8</v>
      </c>
      <c r="O22" s="42">
        <v>3.0E8</v>
      </c>
      <c r="Q22" s="37">
        <v>20.0</v>
      </c>
      <c r="R22" s="37">
        <v>0.4</v>
      </c>
      <c r="S22" s="43">
        <v>210000.0</v>
      </c>
      <c r="T22" s="37">
        <v>250.0</v>
      </c>
      <c r="U22" s="43">
        <v>5.25E7</v>
      </c>
      <c r="V22" s="43">
        <v>7.875E7</v>
      </c>
      <c r="W22" s="44">
        <v>1.05E8</v>
      </c>
    </row>
    <row r="23">
      <c r="A23" s="39">
        <f t="shared" si="5"/>
        <v>21</v>
      </c>
      <c r="B23" s="39">
        <v>0.1</v>
      </c>
      <c r="C23" s="40">
        <f t="shared" si="6"/>
        <v>315000</v>
      </c>
      <c r="D23" s="39">
        <f t="shared" si="1"/>
        <v>1000</v>
      </c>
      <c r="E23" s="40">
        <f t="shared" si="2"/>
        <v>315000000</v>
      </c>
      <c r="F23" s="40">
        <f t="shared" si="3"/>
        <v>472500000</v>
      </c>
      <c r="G23" s="40">
        <f t="shared" si="4"/>
        <v>630000000</v>
      </c>
      <c r="I23" s="41">
        <v>21.0</v>
      </c>
      <c r="J23" s="41">
        <v>0.2</v>
      </c>
      <c r="K23" s="42">
        <v>315000.0</v>
      </c>
      <c r="L23" s="41">
        <v>500.0</v>
      </c>
      <c r="M23" s="42">
        <v>1.575E8</v>
      </c>
      <c r="N23" s="42">
        <v>2.3625E8</v>
      </c>
      <c r="O23" s="42">
        <v>3.15E8</v>
      </c>
      <c r="Q23" s="37">
        <v>21.0</v>
      </c>
      <c r="R23" s="37">
        <v>0.4</v>
      </c>
      <c r="S23" s="43">
        <v>220500.0</v>
      </c>
      <c r="T23" s="37">
        <v>250.0</v>
      </c>
      <c r="U23" s="43">
        <v>5.5125E7</v>
      </c>
      <c r="V23" s="43">
        <v>8.26875E7</v>
      </c>
      <c r="W23" s="44">
        <v>1.1025E8</v>
      </c>
    </row>
    <row r="24">
      <c r="A24" s="39">
        <f t="shared" si="5"/>
        <v>22</v>
      </c>
      <c r="B24" s="39">
        <v>0.1</v>
      </c>
      <c r="C24" s="40">
        <f t="shared" si="6"/>
        <v>330000</v>
      </c>
      <c r="D24" s="39">
        <f t="shared" si="1"/>
        <v>1000</v>
      </c>
      <c r="E24" s="40">
        <f t="shared" si="2"/>
        <v>330000000</v>
      </c>
      <c r="F24" s="40">
        <f t="shared" si="3"/>
        <v>495000000</v>
      </c>
      <c r="G24" s="40">
        <f t="shared" si="4"/>
        <v>660000000</v>
      </c>
      <c r="I24" s="41">
        <v>22.0</v>
      </c>
      <c r="J24" s="41">
        <v>0.2</v>
      </c>
      <c r="K24" s="42">
        <v>330000.0</v>
      </c>
      <c r="L24" s="41">
        <v>500.0</v>
      </c>
      <c r="M24" s="42">
        <v>1.65E8</v>
      </c>
      <c r="N24" s="42">
        <v>2.475E8</v>
      </c>
      <c r="O24" s="42">
        <v>3.3E8</v>
      </c>
      <c r="Q24" s="37">
        <v>22.0</v>
      </c>
      <c r="R24" s="37">
        <v>0.4</v>
      </c>
      <c r="S24" s="43">
        <v>230999.0</v>
      </c>
      <c r="T24" s="37">
        <v>250.0</v>
      </c>
      <c r="U24" s="43">
        <v>5.774975E7</v>
      </c>
      <c r="V24" s="43">
        <v>8.6624625E7</v>
      </c>
      <c r="W24" s="44">
        <v>1.154995E8</v>
      </c>
    </row>
    <row r="25">
      <c r="A25" s="39">
        <f t="shared" si="5"/>
        <v>23</v>
      </c>
      <c r="B25" s="39">
        <v>0.1</v>
      </c>
      <c r="C25" s="40">
        <f t="shared" si="6"/>
        <v>345000</v>
      </c>
      <c r="D25" s="39">
        <f t="shared" si="1"/>
        <v>1000</v>
      </c>
      <c r="E25" s="40">
        <f t="shared" si="2"/>
        <v>345000000</v>
      </c>
      <c r="F25" s="40">
        <f t="shared" si="3"/>
        <v>517500000</v>
      </c>
      <c r="G25" s="40">
        <f t="shared" si="4"/>
        <v>690000000</v>
      </c>
      <c r="I25" s="41">
        <v>23.0</v>
      </c>
      <c r="J25" s="41">
        <v>0.2</v>
      </c>
      <c r="K25" s="42">
        <v>345000.0</v>
      </c>
      <c r="L25" s="41">
        <v>500.0</v>
      </c>
      <c r="M25" s="42">
        <v>1.725E8</v>
      </c>
      <c r="N25" s="42">
        <v>2.5875E8</v>
      </c>
      <c r="O25" s="42">
        <v>3.45E8</v>
      </c>
      <c r="Q25" s="37">
        <v>23.0</v>
      </c>
      <c r="R25" s="37">
        <v>0.4</v>
      </c>
      <c r="S25" s="43">
        <v>241499.0</v>
      </c>
      <c r="T25" s="37">
        <v>250.0</v>
      </c>
      <c r="U25" s="43">
        <v>6.037475E7</v>
      </c>
      <c r="V25" s="43">
        <v>9.0562125E7</v>
      </c>
      <c r="W25" s="44">
        <v>1.207495E8</v>
      </c>
    </row>
    <row r="26">
      <c r="A26" s="39">
        <f t="shared" si="5"/>
        <v>24</v>
      </c>
      <c r="B26" s="39">
        <v>0.1</v>
      </c>
      <c r="C26" s="40">
        <f t="shared" si="6"/>
        <v>360000</v>
      </c>
      <c r="D26" s="39">
        <f t="shared" si="1"/>
        <v>1000</v>
      </c>
      <c r="E26" s="40">
        <f t="shared" si="2"/>
        <v>360000000</v>
      </c>
      <c r="F26" s="40">
        <f t="shared" si="3"/>
        <v>540000000</v>
      </c>
      <c r="G26" s="40">
        <f t="shared" si="4"/>
        <v>720000000</v>
      </c>
      <c r="I26" s="41">
        <v>24.0</v>
      </c>
      <c r="J26" s="41">
        <v>0.2</v>
      </c>
      <c r="K26" s="42">
        <v>360000.0</v>
      </c>
      <c r="L26" s="41">
        <v>500.0</v>
      </c>
      <c r="M26" s="42">
        <v>1.8E8</v>
      </c>
      <c r="N26" s="42">
        <v>2.7E8</v>
      </c>
      <c r="O26" s="42">
        <v>3.6E8</v>
      </c>
      <c r="Q26" s="37">
        <v>24.0</v>
      </c>
      <c r="R26" s="37">
        <v>0.4</v>
      </c>
      <c r="S26" s="43">
        <v>251999.0</v>
      </c>
      <c r="T26" s="37">
        <v>250.0</v>
      </c>
      <c r="U26" s="43">
        <v>6.299975E7</v>
      </c>
      <c r="V26" s="43">
        <v>9.4499625E7</v>
      </c>
      <c r="W26" s="44">
        <v>1.259995E8</v>
      </c>
    </row>
    <row r="27">
      <c r="A27" s="35"/>
      <c r="B27" s="35"/>
      <c r="C27" s="36"/>
      <c r="D27" s="35"/>
      <c r="E27" s="36"/>
      <c r="F27" s="36"/>
      <c r="G27" s="36"/>
      <c r="I27" s="35"/>
      <c r="J27" s="35"/>
      <c r="K27" s="36"/>
      <c r="L27" s="35"/>
      <c r="M27" s="36"/>
      <c r="N27" s="36"/>
      <c r="O27" s="36"/>
    </row>
    <row r="28">
      <c r="A28" s="35"/>
      <c r="B28" s="35"/>
      <c r="C28" s="36"/>
      <c r="D28" s="35" t="s">
        <v>629</v>
      </c>
      <c r="E28" s="40">
        <f t="shared" ref="E28:G28" si="7">SUM(E3:E26)</f>
        <v>2248643452</v>
      </c>
      <c r="F28" s="40">
        <f t="shared" si="7"/>
        <v>3372965179</v>
      </c>
      <c r="G28" s="40">
        <f t="shared" si="7"/>
        <v>4497286905</v>
      </c>
      <c r="I28" s="35"/>
      <c r="J28" s="35"/>
      <c r="K28" s="36"/>
      <c r="L28" s="34" t="s">
        <v>629</v>
      </c>
      <c r="M28" s="42">
        <v>1.1243625E9</v>
      </c>
      <c r="N28" s="42">
        <v>1.68654375E9</v>
      </c>
      <c r="O28" s="42">
        <v>2.248725E9</v>
      </c>
      <c r="T28" s="37" t="s">
        <v>629</v>
      </c>
      <c r="U28" s="43">
        <v>3.77015609E8</v>
      </c>
      <c r="V28" s="43">
        <v>5.65523414E8</v>
      </c>
      <c r="W28" s="43">
        <v>7.54031219E8</v>
      </c>
    </row>
    <row r="30">
      <c r="A30" s="37" t="s">
        <v>630</v>
      </c>
    </row>
    <row r="31">
      <c r="A31" s="37" t="s">
        <v>631</v>
      </c>
    </row>
    <row r="32">
      <c r="A32" s="37" t="s">
        <v>632</v>
      </c>
    </row>
    <row r="33">
      <c r="A33" s="37" t="s">
        <v>633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1.25"/>
    <col customWidth="1" min="4" max="4" width="11.63"/>
    <col customWidth="1" min="5" max="5" width="19.0"/>
    <col customWidth="1" min="8" max="8" width="14.13"/>
    <col customWidth="1" min="11" max="11" width="14.13"/>
    <col customWidth="1" min="14" max="14" width="16.88"/>
  </cols>
  <sheetData>
    <row r="1">
      <c r="A1" s="35" t="s">
        <v>634</v>
      </c>
      <c r="B1" s="35" t="s">
        <v>635</v>
      </c>
      <c r="D1" s="35" t="s">
        <v>634</v>
      </c>
      <c r="E1" s="35" t="s">
        <v>636</v>
      </c>
      <c r="G1" s="35" t="s">
        <v>637</v>
      </c>
      <c r="H1" s="35"/>
      <c r="I1" s="35"/>
      <c r="J1" s="35" t="s">
        <v>638</v>
      </c>
      <c r="K1" s="35"/>
      <c r="L1" s="35"/>
      <c r="M1" s="35" t="s">
        <v>639</v>
      </c>
      <c r="N1" s="35"/>
    </row>
    <row r="2">
      <c r="A2" s="40">
        <v>1.0E7</v>
      </c>
      <c r="B2" s="45">
        <f t="shared" ref="B2:B21" si="1">1-(0.9997)^(A2/25000)</f>
        <v>0.1130955309</v>
      </c>
      <c r="D2" s="40">
        <v>5.0E7</v>
      </c>
      <c r="E2" s="45">
        <f t="shared" ref="E2:E36" si="2">1-(0.9998)^(D2/140000)</f>
        <v>0.06894387161</v>
      </c>
      <c r="G2" s="35" t="s">
        <v>640</v>
      </c>
      <c r="H2" s="35" t="s">
        <v>641</v>
      </c>
      <c r="I2" s="35"/>
      <c r="J2" s="35" t="s">
        <v>640</v>
      </c>
      <c r="K2" s="35" t="s">
        <v>641</v>
      </c>
      <c r="L2" s="35"/>
      <c r="M2" s="35" t="s">
        <v>640</v>
      </c>
      <c r="N2" s="35" t="s">
        <v>642</v>
      </c>
    </row>
    <row r="3">
      <c r="A3" s="40">
        <f t="shared" ref="A3:A21" si="3">A2+10000000</f>
        <v>20000000</v>
      </c>
      <c r="B3" s="45">
        <f t="shared" si="1"/>
        <v>0.2134004627</v>
      </c>
      <c r="D3" s="40">
        <f t="shared" ref="D3:D36" si="4">D2+50000000</f>
        <v>100000000</v>
      </c>
      <c r="E3" s="45">
        <f t="shared" si="2"/>
        <v>0.1331344858</v>
      </c>
      <c r="G3" s="40">
        <v>100000.0</v>
      </c>
      <c r="H3" s="45">
        <f t="shared" ref="H3:H26" si="5">1-(0.9993)^(G3/700)</f>
        <v>0.09519426551</v>
      </c>
      <c r="I3" s="35"/>
      <c r="J3" s="40">
        <v>150000.0</v>
      </c>
      <c r="K3" s="45">
        <f t="shared" ref="K3:K29" si="6">1-(0.9989)^(J3/1800)</f>
        <v>0.08763679796</v>
      </c>
      <c r="L3" s="36"/>
      <c r="M3" s="40">
        <v>250000.0</v>
      </c>
      <c r="N3" s="45">
        <f t="shared" ref="N3:N41" si="7">1-(0.9995)^(M3/1800)</f>
        <v>0.06710424126</v>
      </c>
    </row>
    <row r="4">
      <c r="A4" s="40">
        <f t="shared" si="3"/>
        <v>30000000</v>
      </c>
      <c r="B4" s="45">
        <f t="shared" si="1"/>
        <v>0.302361355</v>
      </c>
      <c r="D4" s="40">
        <f t="shared" si="4"/>
        <v>150000000</v>
      </c>
      <c r="E4" s="45">
        <f t="shared" si="2"/>
        <v>0.1928995505</v>
      </c>
      <c r="G4" s="40">
        <f>G3+G3</f>
        <v>200000</v>
      </c>
      <c r="H4" s="45">
        <f t="shared" si="5"/>
        <v>0.1813265828</v>
      </c>
      <c r="I4" s="35"/>
      <c r="J4" s="40">
        <f>J3+J3</f>
        <v>300000</v>
      </c>
      <c r="K4" s="45">
        <f t="shared" si="6"/>
        <v>0.1675933876</v>
      </c>
      <c r="L4" s="36"/>
      <c r="M4" s="40">
        <f>M3+M3</f>
        <v>500000</v>
      </c>
      <c r="N4" s="45">
        <f t="shared" si="7"/>
        <v>0.1297055033</v>
      </c>
    </row>
    <row r="5">
      <c r="A5" s="40">
        <f t="shared" si="3"/>
        <v>40000000</v>
      </c>
      <c r="B5" s="45">
        <f t="shared" si="1"/>
        <v>0.3812611679</v>
      </c>
      <c r="D5" s="40">
        <f t="shared" si="4"/>
        <v>200000000</v>
      </c>
      <c r="E5" s="45">
        <f t="shared" si="2"/>
        <v>0.2485441803</v>
      </c>
      <c r="G5" s="40">
        <f t="shared" ref="G5:G26" si="8">G4+100000</f>
        <v>300000</v>
      </c>
      <c r="H5" s="45">
        <f t="shared" si="5"/>
        <v>0.2592595975</v>
      </c>
      <c r="I5" s="35"/>
      <c r="J5" s="40">
        <f t="shared" ref="J5:J29" si="9">J4+150000</f>
        <v>450000</v>
      </c>
      <c r="K5" s="45">
        <f t="shared" si="6"/>
        <v>0.2405428377</v>
      </c>
      <c r="L5" s="36"/>
      <c r="M5" s="40">
        <f t="shared" ref="M5:M41" si="10">M4+250000</f>
        <v>750000</v>
      </c>
      <c r="N5" s="45">
        <f t="shared" si="7"/>
        <v>0.1881059552</v>
      </c>
    </row>
    <row r="6">
      <c r="A6" s="40">
        <f t="shared" si="3"/>
        <v>50000000</v>
      </c>
      <c r="B6" s="45">
        <f t="shared" si="1"/>
        <v>0.4512377646</v>
      </c>
      <c r="D6" s="40">
        <f t="shared" si="4"/>
        <v>250000000</v>
      </c>
      <c r="E6" s="45">
        <f t="shared" si="2"/>
        <v>0.3003524538</v>
      </c>
      <c r="G6" s="40">
        <f t="shared" si="8"/>
        <v>400000</v>
      </c>
      <c r="H6" s="45">
        <f t="shared" si="5"/>
        <v>0.329773836</v>
      </c>
      <c r="I6" s="35"/>
      <c r="J6" s="40">
        <f t="shared" si="9"/>
        <v>600000</v>
      </c>
      <c r="K6" s="45">
        <f t="shared" si="6"/>
        <v>0.3070992316</v>
      </c>
      <c r="L6" s="36"/>
      <c r="M6" s="40">
        <f t="shared" si="10"/>
        <v>1000000</v>
      </c>
      <c r="N6" s="45">
        <f t="shared" si="7"/>
        <v>0.2425874891</v>
      </c>
    </row>
    <row r="7">
      <c r="A7" s="40">
        <f t="shared" si="3"/>
        <v>60000000</v>
      </c>
      <c r="B7" s="45">
        <f t="shared" si="1"/>
        <v>0.513300321</v>
      </c>
      <c r="D7" s="40">
        <f t="shared" si="4"/>
        <v>300000000</v>
      </c>
      <c r="E7" s="45">
        <f t="shared" si="2"/>
        <v>0.3485888644</v>
      </c>
      <c r="G7" s="40">
        <f t="shared" si="8"/>
        <v>500000</v>
      </c>
      <c r="H7" s="45">
        <f t="shared" si="5"/>
        <v>0.3935755234</v>
      </c>
      <c r="I7" s="35"/>
      <c r="J7" s="40">
        <f t="shared" si="9"/>
        <v>750000</v>
      </c>
      <c r="K7" s="45">
        <f t="shared" si="6"/>
        <v>0.3678228362</v>
      </c>
      <c r="L7" s="36"/>
      <c r="M7" s="40">
        <f t="shared" si="10"/>
        <v>1250000</v>
      </c>
      <c r="N7" s="45">
        <f t="shared" si="7"/>
        <v>0.2934130809</v>
      </c>
    </row>
    <row r="8">
      <c r="A8" s="40">
        <f t="shared" si="3"/>
        <v>70000000</v>
      </c>
      <c r="B8" s="45">
        <f t="shared" si="1"/>
        <v>0.5683438796</v>
      </c>
      <c r="D8" s="40">
        <f t="shared" si="4"/>
        <v>350000000</v>
      </c>
      <c r="E8" s="45">
        <f t="shared" si="2"/>
        <v>0.3934996701</v>
      </c>
      <c r="G8" s="40">
        <f t="shared" si="8"/>
        <v>600000</v>
      </c>
      <c r="H8" s="45">
        <f t="shared" si="5"/>
        <v>0.451303656</v>
      </c>
      <c r="I8" s="35"/>
      <c r="J8" s="40">
        <f t="shared" si="9"/>
        <v>900000</v>
      </c>
      <c r="K8" s="45">
        <f t="shared" si="6"/>
        <v>0.4232248186</v>
      </c>
      <c r="L8" s="36"/>
      <c r="M8" s="40">
        <f t="shared" si="10"/>
        <v>1500000</v>
      </c>
      <c r="N8" s="45">
        <f t="shared" si="7"/>
        <v>0.34082806</v>
      </c>
    </row>
    <row r="9">
      <c r="A9" s="40">
        <f t="shared" si="3"/>
        <v>80000000</v>
      </c>
      <c r="B9" s="45">
        <f t="shared" si="1"/>
        <v>0.6171622577</v>
      </c>
      <c r="D9" s="40">
        <f t="shared" si="4"/>
        <v>400000000</v>
      </c>
      <c r="E9" s="45">
        <f t="shared" si="2"/>
        <v>0.435314151</v>
      </c>
      <c r="G9" s="40">
        <f t="shared" si="8"/>
        <v>700000</v>
      </c>
      <c r="H9" s="45">
        <f t="shared" si="5"/>
        <v>0.5035364015</v>
      </c>
      <c r="I9" s="35"/>
      <c r="J9" s="40">
        <f t="shared" si="9"/>
        <v>1050000</v>
      </c>
      <c r="K9" s="45">
        <f t="shared" si="6"/>
        <v>0.4737715486</v>
      </c>
      <c r="L9" s="36"/>
      <c r="M9" s="40">
        <f t="shared" si="10"/>
        <v>1750000</v>
      </c>
      <c r="N9" s="45">
        <f t="shared" si="7"/>
        <v>0.3850612929</v>
      </c>
    </row>
    <row r="10">
      <c r="A10" s="40">
        <f t="shared" si="3"/>
        <v>90000000</v>
      </c>
      <c r="B10" s="45">
        <f t="shared" si="1"/>
        <v>0.6604594954</v>
      </c>
      <c r="D10" s="40">
        <f t="shared" si="4"/>
        <v>450000000</v>
      </c>
      <c r="E10" s="45">
        <f t="shared" si="2"/>
        <v>0.4742457797</v>
      </c>
      <c r="G10" s="40">
        <f t="shared" si="8"/>
        <v>800000</v>
      </c>
      <c r="H10" s="45">
        <f t="shared" si="5"/>
        <v>0.5507968891</v>
      </c>
      <c r="I10" s="35"/>
      <c r="J10" s="40">
        <f t="shared" si="9"/>
        <v>1200000</v>
      </c>
      <c r="K10" s="45">
        <f t="shared" si="6"/>
        <v>0.5198885251</v>
      </c>
      <c r="L10" s="36"/>
      <c r="M10" s="40">
        <f t="shared" si="10"/>
        <v>2000000</v>
      </c>
      <c r="N10" s="45">
        <f t="shared" si="7"/>
        <v>0.4263262883</v>
      </c>
    </row>
    <row r="11">
      <c r="A11" s="40">
        <f t="shared" si="3"/>
        <v>100000000</v>
      </c>
      <c r="B11" s="45">
        <f t="shared" si="1"/>
        <v>0.698860009</v>
      </c>
      <c r="D11" s="40">
        <f t="shared" si="4"/>
        <v>500000000</v>
      </c>
      <c r="E11" s="45">
        <f t="shared" si="2"/>
        <v>0.5104933111</v>
      </c>
      <c r="G11" s="40">
        <f t="shared" si="8"/>
        <v>900000</v>
      </c>
      <c r="H11" s="45">
        <f t="shared" si="5"/>
        <v>0.5935584493</v>
      </c>
      <c r="I11" s="35"/>
      <c r="J11" s="40">
        <f t="shared" si="9"/>
        <v>1350000</v>
      </c>
      <c r="K11" s="45">
        <f t="shared" si="6"/>
        <v>0.5619639574</v>
      </c>
      <c r="L11" s="36"/>
      <c r="M11" s="40">
        <f t="shared" si="10"/>
        <v>2250000</v>
      </c>
      <c r="N11" s="45">
        <f t="shared" si="7"/>
        <v>0.4648222274</v>
      </c>
    </row>
    <row r="12">
      <c r="A12" s="40">
        <f t="shared" si="3"/>
        <v>110000000</v>
      </c>
      <c r="B12" s="45">
        <f t="shared" si="1"/>
        <v>0.7329175962</v>
      </c>
      <c r="D12" s="40">
        <f t="shared" si="4"/>
        <v>550000000</v>
      </c>
      <c r="E12" s="45">
        <f t="shared" si="2"/>
        <v>0.5442417974</v>
      </c>
      <c r="G12" s="40">
        <f t="shared" si="8"/>
        <v>1000000</v>
      </c>
      <c r="H12" s="45">
        <f t="shared" si="5"/>
        <v>0.6322493542</v>
      </c>
      <c r="I12" s="35"/>
      <c r="J12" s="40">
        <f t="shared" si="9"/>
        <v>1500000</v>
      </c>
      <c r="K12" s="45">
        <f t="shared" si="6"/>
        <v>0.6003520336</v>
      </c>
      <c r="L12" s="36"/>
      <c r="M12" s="40">
        <f t="shared" si="10"/>
        <v>2500000</v>
      </c>
      <c r="N12" s="45">
        <f t="shared" si="7"/>
        <v>0.5007349258</v>
      </c>
    </row>
    <row r="13">
      <c r="A13" s="40">
        <f t="shared" si="3"/>
        <v>120000000</v>
      </c>
      <c r="B13" s="45">
        <f t="shared" si="1"/>
        <v>0.7631234224</v>
      </c>
      <c r="D13" s="40">
        <f t="shared" si="4"/>
        <v>600000000</v>
      </c>
      <c r="E13" s="45">
        <f t="shared" si="2"/>
        <v>0.5756635324</v>
      </c>
      <c r="G13" s="40">
        <f t="shared" si="8"/>
        <v>1100000</v>
      </c>
      <c r="H13" s="45">
        <f t="shared" si="5"/>
        <v>0.6672571068</v>
      </c>
      <c r="I13" s="35"/>
      <c r="J13" s="40">
        <f t="shared" si="9"/>
        <v>1650000</v>
      </c>
      <c r="K13" s="45">
        <f t="shared" si="6"/>
        <v>0.6353759017</v>
      </c>
      <c r="L13" s="36"/>
      <c r="M13" s="40">
        <f t="shared" si="10"/>
        <v>2750000</v>
      </c>
      <c r="N13" s="45">
        <f t="shared" si="7"/>
        <v>0.5342377298</v>
      </c>
    </row>
    <row r="14">
      <c r="A14" s="40">
        <f t="shared" si="3"/>
        <v>130000000</v>
      </c>
      <c r="B14" s="45">
        <f t="shared" si="1"/>
        <v>0.7899131047</v>
      </c>
      <c r="D14" s="40">
        <f t="shared" si="4"/>
        <v>650000000</v>
      </c>
      <c r="E14" s="45">
        <f t="shared" si="2"/>
        <v>0.6049189314</v>
      </c>
      <c r="G14" s="40">
        <f t="shared" si="8"/>
        <v>1200000</v>
      </c>
      <c r="H14" s="45">
        <f t="shared" si="5"/>
        <v>0.6989323221</v>
      </c>
      <c r="I14" s="35"/>
      <c r="J14" s="40">
        <f t="shared" si="9"/>
        <v>1800000</v>
      </c>
      <c r="K14" s="45">
        <f t="shared" si="6"/>
        <v>0.6673303901</v>
      </c>
      <c r="L14" s="36"/>
      <c r="M14" s="40">
        <f t="shared" si="10"/>
        <v>3000000</v>
      </c>
      <c r="N14" s="45">
        <f t="shared" si="7"/>
        <v>0.5654923535</v>
      </c>
    </row>
    <row r="15">
      <c r="A15" s="40">
        <f t="shared" si="3"/>
        <v>140000000</v>
      </c>
      <c r="B15" s="45">
        <f t="shared" si="1"/>
        <v>0.8136729937</v>
      </c>
      <c r="D15" s="40">
        <f t="shared" si="4"/>
        <v>700000000</v>
      </c>
      <c r="E15" s="45">
        <f t="shared" si="2"/>
        <v>0.6321573498</v>
      </c>
      <c r="G15" s="40">
        <f t="shared" si="8"/>
        <v>1300000</v>
      </c>
      <c r="H15" s="45">
        <f t="shared" si="5"/>
        <v>0.7275922386</v>
      </c>
      <c r="I15" s="35"/>
      <c r="J15" s="40">
        <f t="shared" si="9"/>
        <v>1950000</v>
      </c>
      <c r="K15" s="45">
        <f t="shared" si="6"/>
        <v>0.6964844895</v>
      </c>
      <c r="L15" s="36"/>
      <c r="M15" s="40">
        <f t="shared" si="10"/>
        <v>3250000</v>
      </c>
      <c r="N15" s="45">
        <f t="shared" si="7"/>
        <v>0.5946496595</v>
      </c>
    </row>
    <row r="16">
      <c r="A16" s="40">
        <f t="shared" si="3"/>
        <v>150000000</v>
      </c>
      <c r="B16" s="45">
        <f t="shared" si="1"/>
        <v>0.8347457454</v>
      </c>
      <c r="D16" s="40">
        <f t="shared" si="4"/>
        <v>750000000</v>
      </c>
      <c r="E16" s="45">
        <f t="shared" si="2"/>
        <v>0.6575178463</v>
      </c>
      <c r="G16" s="40">
        <f t="shared" si="8"/>
        <v>1400000</v>
      </c>
      <c r="H16" s="45">
        <f t="shared" si="5"/>
        <v>0.7535238954</v>
      </c>
      <c r="I16" s="35"/>
      <c r="J16" s="40">
        <f t="shared" si="9"/>
        <v>2100000</v>
      </c>
      <c r="K16" s="45">
        <f t="shared" si="6"/>
        <v>0.723083617</v>
      </c>
      <c r="L16" s="36"/>
      <c r="M16" s="40">
        <f t="shared" si="10"/>
        <v>3500000</v>
      </c>
      <c r="N16" s="45">
        <f t="shared" si="7"/>
        <v>0.6218503865</v>
      </c>
    </row>
    <row r="17">
      <c r="A17" s="40">
        <f t="shared" si="3"/>
        <v>160000000</v>
      </c>
      <c r="B17" s="45">
        <f t="shared" si="1"/>
        <v>0.853435263</v>
      </c>
      <c r="D17" s="40">
        <f t="shared" si="4"/>
        <v>800000000</v>
      </c>
      <c r="E17" s="45">
        <f t="shared" si="2"/>
        <v>0.6811298919</v>
      </c>
      <c r="G17" s="40">
        <f t="shared" si="8"/>
        <v>1500000</v>
      </c>
      <c r="H17" s="45">
        <f t="shared" si="5"/>
        <v>0.7769870071</v>
      </c>
      <c r="I17" s="35"/>
      <c r="J17" s="40">
        <f t="shared" si="9"/>
        <v>2250000</v>
      </c>
      <c r="K17" s="45">
        <f t="shared" si="6"/>
        <v>0.7473516821</v>
      </c>
      <c r="L17" s="36"/>
      <c r="M17" s="40">
        <f t="shared" si="10"/>
        <v>3750000</v>
      </c>
      <c r="N17" s="45">
        <f t="shared" si="7"/>
        <v>0.6472258294</v>
      </c>
    </row>
    <row r="18">
      <c r="A18" s="40">
        <f t="shared" si="3"/>
        <v>170000000</v>
      </c>
      <c r="B18" s="45">
        <f t="shared" si="1"/>
        <v>0.8700110798</v>
      </c>
      <c r="D18" s="40">
        <f t="shared" si="4"/>
        <v>850000000</v>
      </c>
      <c r="E18" s="45">
        <f t="shared" si="2"/>
        <v>0.7031140317</v>
      </c>
      <c r="G18" s="40">
        <f t="shared" si="8"/>
        <v>1600000</v>
      </c>
      <c r="H18" s="45">
        <f t="shared" si="5"/>
        <v>0.7982165652</v>
      </c>
      <c r="I18" s="35"/>
      <c r="J18" s="40">
        <f t="shared" si="9"/>
        <v>2400000</v>
      </c>
      <c r="K18" s="45">
        <f t="shared" si="6"/>
        <v>0.7694929717</v>
      </c>
      <c r="L18" s="36"/>
      <c r="M18" s="40">
        <f t="shared" si="10"/>
        <v>4000000</v>
      </c>
      <c r="N18" s="45">
        <f t="shared" si="7"/>
        <v>0.6708984725</v>
      </c>
    </row>
    <row r="19">
      <c r="A19" s="40">
        <f t="shared" si="3"/>
        <v>180000000</v>
      </c>
      <c r="B19" s="45">
        <f t="shared" si="1"/>
        <v>0.8847122457</v>
      </c>
      <c r="D19" s="40">
        <f t="shared" si="4"/>
        <v>900000000</v>
      </c>
      <c r="E19" s="45">
        <f t="shared" si="2"/>
        <v>0.7235824998</v>
      </c>
      <c r="G19" s="40">
        <f t="shared" si="8"/>
        <v>1700000</v>
      </c>
      <c r="H19" s="45">
        <f t="shared" si="5"/>
        <v>0.817425191</v>
      </c>
      <c r="I19" s="35"/>
      <c r="J19" s="40">
        <f t="shared" si="9"/>
        <v>2550000</v>
      </c>
      <c r="K19" s="45">
        <f t="shared" si="6"/>
        <v>0.7896938695</v>
      </c>
      <c r="L19" s="36"/>
      <c r="M19" s="40">
        <f t="shared" si="10"/>
        <v>4250000</v>
      </c>
      <c r="N19" s="45">
        <f t="shared" si="7"/>
        <v>0.6929825808</v>
      </c>
    </row>
    <row r="20">
      <c r="A20" s="40">
        <f t="shared" si="3"/>
        <v>190000000</v>
      </c>
      <c r="B20" s="45">
        <f t="shared" si="1"/>
        <v>0.8977507755</v>
      </c>
      <c r="D20" s="40">
        <f t="shared" si="4"/>
        <v>950000000</v>
      </c>
      <c r="E20" s="45">
        <f t="shared" si="2"/>
        <v>0.7426397924</v>
      </c>
      <c r="G20" s="40">
        <f t="shared" si="8"/>
        <v>1800000</v>
      </c>
      <c r="H20" s="45">
        <f t="shared" si="5"/>
        <v>0.8348052659</v>
      </c>
      <c r="I20" s="35"/>
      <c r="J20" s="40">
        <f t="shared" si="9"/>
        <v>2700000</v>
      </c>
      <c r="K20" s="45">
        <f t="shared" si="6"/>
        <v>0.8081244254</v>
      </c>
      <c r="L20" s="36"/>
      <c r="M20" s="40">
        <f t="shared" si="10"/>
        <v>4500000</v>
      </c>
      <c r="N20" s="45">
        <f t="shared" si="7"/>
        <v>0.7135847517</v>
      </c>
    </row>
    <row r="21">
      <c r="A21" s="40">
        <f t="shared" si="3"/>
        <v>200000000</v>
      </c>
      <c r="B21" s="45">
        <f t="shared" si="1"/>
        <v>0.9093147058</v>
      </c>
      <c r="D21" s="40">
        <f t="shared" si="4"/>
        <v>1000000000</v>
      </c>
      <c r="E21" s="45">
        <f t="shared" si="2"/>
        <v>0.7603832015</v>
      </c>
      <c r="G21" s="40">
        <f t="shared" si="8"/>
        <v>1900000</v>
      </c>
      <c r="H21" s="45">
        <f t="shared" si="5"/>
        <v>0.8505308573</v>
      </c>
      <c r="I21" s="35"/>
      <c r="J21" s="40">
        <f t="shared" si="9"/>
        <v>2850000</v>
      </c>
      <c r="K21" s="45">
        <f t="shared" si="6"/>
        <v>0.8249397864</v>
      </c>
      <c r="L21" s="36"/>
      <c r="M21" s="40">
        <f t="shared" si="10"/>
        <v>4750000</v>
      </c>
      <c r="N21" s="45">
        <f t="shared" si="7"/>
        <v>0.7328044297</v>
      </c>
    </row>
    <row r="22">
      <c r="D22" s="40">
        <f t="shared" si="4"/>
        <v>1050000000</v>
      </c>
      <c r="E22" s="45">
        <f t="shared" si="2"/>
        <v>0.7769033113</v>
      </c>
      <c r="G22" s="40">
        <f t="shared" si="8"/>
        <v>2000000</v>
      </c>
      <c r="H22" s="45">
        <f t="shared" si="5"/>
        <v>0.8647594625</v>
      </c>
      <c r="I22" s="35"/>
      <c r="J22" s="40">
        <f t="shared" si="9"/>
        <v>3000000</v>
      </c>
      <c r="K22" s="45">
        <f t="shared" si="6"/>
        <v>0.8402815029</v>
      </c>
      <c r="L22" s="36"/>
      <c r="M22" s="40">
        <f t="shared" si="10"/>
        <v>5000000</v>
      </c>
      <c r="N22" s="45">
        <f t="shared" si="7"/>
        <v>0.7507343857</v>
      </c>
    </row>
    <row r="23">
      <c r="A23" s="37" t="s">
        <v>630</v>
      </c>
      <c r="D23" s="40">
        <f t="shared" si="4"/>
        <v>1100000000</v>
      </c>
      <c r="E23" s="45">
        <f t="shared" si="2"/>
        <v>0.7922844608</v>
      </c>
      <c r="G23" s="40">
        <f t="shared" si="8"/>
        <v>2100000</v>
      </c>
      <c r="H23" s="45">
        <f t="shared" si="5"/>
        <v>0.8776335861</v>
      </c>
      <c r="I23" s="35"/>
      <c r="J23" s="40">
        <f t="shared" si="9"/>
        <v>3150000</v>
      </c>
      <c r="K23" s="45">
        <f t="shared" si="6"/>
        <v>0.8542787206</v>
      </c>
      <c r="L23" s="36"/>
      <c r="M23" s="40">
        <f t="shared" si="10"/>
        <v>5250000</v>
      </c>
      <c r="N23" s="45">
        <f t="shared" si="7"/>
        <v>0.7674611656</v>
      </c>
    </row>
    <row r="24">
      <c r="A24" s="37" t="s">
        <v>643</v>
      </c>
      <c r="D24" s="40">
        <f t="shared" si="4"/>
        <v>1150000000</v>
      </c>
      <c r="E24" s="45">
        <f t="shared" si="2"/>
        <v>0.8066051743</v>
      </c>
      <c r="G24" s="40">
        <f t="shared" si="8"/>
        <v>2200000</v>
      </c>
      <c r="H24" s="45">
        <f t="shared" si="5"/>
        <v>0.889282167</v>
      </c>
      <c r="I24" s="35"/>
      <c r="J24" s="40">
        <f t="shared" si="9"/>
        <v>3300000</v>
      </c>
      <c r="K24" s="45">
        <f t="shared" si="6"/>
        <v>0.8670492669</v>
      </c>
      <c r="L24" s="36"/>
      <c r="M24" s="40">
        <f t="shared" si="10"/>
        <v>5500000</v>
      </c>
      <c r="N24" s="45">
        <f t="shared" si="7"/>
        <v>0.7830655076</v>
      </c>
    </row>
    <row r="25">
      <c r="D25" s="40">
        <f t="shared" si="4"/>
        <v>1200000000</v>
      </c>
      <c r="E25" s="45">
        <f t="shared" si="2"/>
        <v>0.8199385623</v>
      </c>
      <c r="G25" s="40">
        <f t="shared" si="8"/>
        <v>2300000</v>
      </c>
      <c r="H25" s="45">
        <f t="shared" si="5"/>
        <v>0.8998218698</v>
      </c>
      <c r="I25" s="35"/>
      <c r="J25" s="40">
        <f t="shared" si="9"/>
        <v>3450000</v>
      </c>
      <c r="K25" s="45">
        <f t="shared" si="6"/>
        <v>0.8787006435</v>
      </c>
      <c r="L25" s="36"/>
      <c r="M25" s="40">
        <f t="shared" si="10"/>
        <v>5750000</v>
      </c>
      <c r="N25" s="45">
        <f t="shared" si="7"/>
        <v>0.7976227322</v>
      </c>
    </row>
    <row r="26">
      <c r="D26" s="40">
        <f t="shared" si="4"/>
        <v>1250000000</v>
      </c>
      <c r="E26" s="45">
        <f t="shared" si="2"/>
        <v>0.8323526949</v>
      </c>
      <c r="G26" s="40">
        <f t="shared" si="8"/>
        <v>2400000</v>
      </c>
      <c r="H26" s="45">
        <f t="shared" si="5"/>
        <v>0.9093582533</v>
      </c>
      <c r="I26" s="35"/>
      <c r="J26" s="40">
        <f t="shared" si="9"/>
        <v>3600000</v>
      </c>
      <c r="K26" s="45">
        <f t="shared" si="6"/>
        <v>0.8893309307</v>
      </c>
      <c r="L26" s="36"/>
      <c r="M26" s="40">
        <f t="shared" si="10"/>
        <v>6000000</v>
      </c>
      <c r="N26" s="45">
        <f t="shared" si="7"/>
        <v>0.8112031052</v>
      </c>
    </row>
    <row r="27">
      <c r="D27" s="40">
        <f t="shared" si="4"/>
        <v>1300000000</v>
      </c>
      <c r="E27" s="45">
        <f t="shared" si="2"/>
        <v>0.8439109492</v>
      </c>
      <c r="G27" s="35"/>
      <c r="H27" s="35"/>
      <c r="I27" s="35"/>
      <c r="J27" s="40">
        <f t="shared" si="9"/>
        <v>3750000</v>
      </c>
      <c r="K27" s="45">
        <f t="shared" si="6"/>
        <v>0.8990296135</v>
      </c>
      <c r="L27" s="36"/>
      <c r="M27" s="40">
        <f t="shared" si="10"/>
        <v>6250000</v>
      </c>
      <c r="N27" s="45">
        <f t="shared" si="7"/>
        <v>0.8238721775</v>
      </c>
    </row>
    <row r="28">
      <c r="D28" s="40">
        <f t="shared" si="4"/>
        <v>1350000000</v>
      </c>
      <c r="E28" s="45">
        <f t="shared" si="2"/>
        <v>0.8546723327</v>
      </c>
      <c r="G28" s="35"/>
      <c r="H28" s="35"/>
      <c r="I28" s="35"/>
      <c r="J28" s="40">
        <f t="shared" si="9"/>
        <v>3900000</v>
      </c>
      <c r="K28" s="45">
        <f t="shared" si="6"/>
        <v>0.9078783349</v>
      </c>
      <c r="L28" s="36"/>
      <c r="M28" s="40">
        <f t="shared" si="10"/>
        <v>6500000</v>
      </c>
      <c r="N28" s="45">
        <f t="shared" si="7"/>
        <v>0.8356911014</v>
      </c>
    </row>
    <row r="29">
      <c r="D29" s="40">
        <f t="shared" si="4"/>
        <v>1400000000</v>
      </c>
      <c r="E29" s="45">
        <f t="shared" si="2"/>
        <v>0.8646917847</v>
      </c>
      <c r="G29" s="35"/>
      <c r="H29" s="35"/>
      <c r="I29" s="35"/>
      <c r="J29" s="40">
        <f t="shared" si="9"/>
        <v>4050000</v>
      </c>
      <c r="K29" s="45">
        <f t="shared" si="6"/>
        <v>0.9159515826</v>
      </c>
      <c r="L29" s="36"/>
      <c r="M29" s="40">
        <f t="shared" si="10"/>
        <v>6750000</v>
      </c>
      <c r="N29" s="45">
        <f t="shared" si="7"/>
        <v>0.8467169254</v>
      </c>
    </row>
    <row r="30">
      <c r="D30" s="40">
        <f t="shared" si="4"/>
        <v>1450000000</v>
      </c>
      <c r="E30" s="45">
        <f t="shared" si="2"/>
        <v>0.8740204569</v>
      </c>
      <c r="G30" s="35"/>
      <c r="H30" s="35"/>
      <c r="I30" s="35"/>
      <c r="J30" s="36"/>
      <c r="K30" s="36"/>
      <c r="L30" s="36"/>
      <c r="M30" s="40">
        <f t="shared" si="10"/>
        <v>7000000</v>
      </c>
      <c r="N30" s="45">
        <f t="shared" si="7"/>
        <v>0.8570028698</v>
      </c>
    </row>
    <row r="31">
      <c r="D31" s="40">
        <f t="shared" si="4"/>
        <v>1500000000</v>
      </c>
      <c r="E31" s="45">
        <f t="shared" si="2"/>
        <v>0.8827059744</v>
      </c>
      <c r="G31" s="35"/>
      <c r="H31" s="35"/>
      <c r="I31" s="35"/>
      <c r="J31" s="36"/>
      <c r="K31" s="36"/>
      <c r="L31" s="36"/>
      <c r="M31" s="40">
        <f t="shared" si="10"/>
        <v>7250000</v>
      </c>
      <c r="N31" s="45">
        <f t="shared" si="7"/>
        <v>0.8665985838</v>
      </c>
    </row>
    <row r="32">
      <c r="D32" s="40">
        <f t="shared" si="4"/>
        <v>1550000000</v>
      </c>
      <c r="E32" s="45">
        <f t="shared" si="2"/>
        <v>0.8907926786</v>
      </c>
      <c r="G32" s="35"/>
      <c r="H32" s="35"/>
      <c r="I32" s="35"/>
      <c r="J32" s="36"/>
      <c r="K32" s="36"/>
      <c r="L32" s="36"/>
      <c r="M32" s="40">
        <f t="shared" si="10"/>
        <v>7500000</v>
      </c>
      <c r="N32" s="45">
        <f t="shared" si="7"/>
        <v>0.8755503846</v>
      </c>
    </row>
    <row r="33">
      <c r="D33" s="40">
        <f t="shared" si="4"/>
        <v>1600000000</v>
      </c>
      <c r="E33" s="45">
        <f t="shared" si="2"/>
        <v>0.8983218542</v>
      </c>
      <c r="M33" s="40">
        <f t="shared" si="10"/>
        <v>7750000</v>
      </c>
      <c r="N33" s="45">
        <f t="shared" si="7"/>
        <v>0.8839014816</v>
      </c>
    </row>
    <row r="34">
      <c r="D34" s="40">
        <f t="shared" si="4"/>
        <v>1650000000</v>
      </c>
      <c r="E34" s="45">
        <f t="shared" si="2"/>
        <v>0.9053319392</v>
      </c>
      <c r="M34" s="40">
        <f t="shared" si="10"/>
        <v>8000000</v>
      </c>
      <c r="N34" s="45">
        <f t="shared" si="7"/>
        <v>0.8916921846</v>
      </c>
    </row>
    <row r="35">
      <c r="D35" s="40">
        <f t="shared" si="4"/>
        <v>1700000000</v>
      </c>
      <c r="E35" s="45">
        <f t="shared" si="2"/>
        <v>0.9118587218</v>
      </c>
      <c r="M35" s="40">
        <f t="shared" si="10"/>
        <v>8250000</v>
      </c>
      <c r="N35" s="45">
        <f t="shared" si="7"/>
        <v>0.8989600984</v>
      </c>
    </row>
    <row r="36">
      <c r="D36" s="40">
        <f t="shared" si="4"/>
        <v>1750000000</v>
      </c>
      <c r="E36" s="45">
        <f t="shared" si="2"/>
        <v>0.9179355228</v>
      </c>
      <c r="M36" s="40">
        <f t="shared" si="10"/>
        <v>8500000</v>
      </c>
      <c r="N36" s="45">
        <f t="shared" si="7"/>
        <v>0.9057403043</v>
      </c>
    </row>
    <row r="37">
      <c r="M37" s="40">
        <f t="shared" si="10"/>
        <v>8750000</v>
      </c>
      <c r="N37" s="45">
        <f t="shared" si="7"/>
        <v>0.9120655297</v>
      </c>
    </row>
    <row r="38">
      <c r="M38" s="40">
        <f t="shared" si="10"/>
        <v>9000000</v>
      </c>
      <c r="N38" s="45">
        <f t="shared" si="7"/>
        <v>0.9179663056</v>
      </c>
    </row>
    <row r="39">
      <c r="M39" s="40">
        <f t="shared" si="10"/>
        <v>9250000</v>
      </c>
      <c r="N39" s="45">
        <f t="shared" si="7"/>
        <v>0.9234711144</v>
      </c>
    </row>
    <row r="40">
      <c r="M40" s="40">
        <f t="shared" si="10"/>
        <v>9500000</v>
      </c>
      <c r="N40" s="45">
        <f t="shared" si="7"/>
        <v>0.9286065272</v>
      </c>
    </row>
    <row r="41">
      <c r="M41" s="40">
        <f t="shared" si="10"/>
        <v>9750000</v>
      </c>
      <c r="N41" s="45">
        <f t="shared" si="7"/>
        <v>0.933397332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644</v>
      </c>
    </row>
    <row r="3">
      <c r="A3" s="37" t="s">
        <v>645</v>
      </c>
    </row>
    <row r="4">
      <c r="A4" s="37" t="s">
        <v>646</v>
      </c>
    </row>
    <row r="5">
      <c r="A5" s="46">
        <v>0.1111111111111111</v>
      </c>
      <c r="B5" s="46">
        <v>0.14583333333333334</v>
      </c>
      <c r="C5" s="46">
        <v>0.18055555555555555</v>
      </c>
      <c r="D5" s="46">
        <v>0.2152777777777778</v>
      </c>
      <c r="E5" s="46">
        <v>0.25</v>
      </c>
      <c r="F5" s="46">
        <v>0.2847222222222222</v>
      </c>
      <c r="G5" s="46">
        <v>0.3194444444444444</v>
      </c>
      <c r="H5" s="46">
        <v>0.3541666666666667</v>
      </c>
      <c r="I5" s="46">
        <v>0.3888888888888889</v>
      </c>
      <c r="J5" s="46">
        <v>0.4236111111111111</v>
      </c>
    </row>
    <row r="6">
      <c r="A6" s="37" t="s">
        <v>647</v>
      </c>
      <c r="B6" s="37" t="s">
        <v>648</v>
      </c>
      <c r="C6" s="37" t="s">
        <v>649</v>
      </c>
      <c r="D6" s="37" t="s">
        <v>650</v>
      </c>
      <c r="E6" s="37" t="s">
        <v>651</v>
      </c>
      <c r="F6" s="37" t="s">
        <v>652</v>
      </c>
      <c r="G6" s="37" t="s">
        <v>653</v>
      </c>
      <c r="H6" s="37" t="s">
        <v>654</v>
      </c>
      <c r="I6" s="37" t="s">
        <v>655</v>
      </c>
    </row>
    <row r="7">
      <c r="A7" s="37" t="s">
        <v>656</v>
      </c>
      <c r="B7" s="37" t="s">
        <v>657</v>
      </c>
      <c r="C7" s="37" t="s">
        <v>658</v>
      </c>
      <c r="D7" s="37" t="s">
        <v>659</v>
      </c>
      <c r="E7" s="37" t="s">
        <v>660</v>
      </c>
      <c r="F7" s="37" t="s">
        <v>661</v>
      </c>
    </row>
    <row r="8">
      <c r="A8" s="37" t="s">
        <v>662</v>
      </c>
    </row>
    <row r="10">
      <c r="A10" s="37" t="s">
        <v>663</v>
      </c>
    </row>
    <row r="11">
      <c r="A11" s="37" t="s">
        <v>664</v>
      </c>
    </row>
    <row r="12">
      <c r="A12" s="37" t="s">
        <v>665</v>
      </c>
    </row>
    <row r="14">
      <c r="A14" s="37" t="s">
        <v>666</v>
      </c>
    </row>
    <row r="15">
      <c r="A15" s="37" t="s">
        <v>667</v>
      </c>
    </row>
    <row r="17">
      <c r="A17" s="37" t="s">
        <v>668</v>
      </c>
    </row>
    <row r="18">
      <c r="A18" s="37" t="s">
        <v>669</v>
      </c>
      <c r="B18" s="37" t="s">
        <v>670</v>
      </c>
    </row>
    <row r="19">
      <c r="A19" s="37" t="s">
        <v>671</v>
      </c>
    </row>
    <row r="20">
      <c r="A20" s="37" t="s">
        <v>672</v>
      </c>
      <c r="B20" s="37" t="s">
        <v>673</v>
      </c>
    </row>
    <row r="21">
      <c r="A21" s="37" t="s">
        <v>674</v>
      </c>
      <c r="B21" s="37" t="s">
        <v>673</v>
      </c>
    </row>
    <row r="22">
      <c r="A22" s="37" t="s">
        <v>675</v>
      </c>
      <c r="B22" s="37" t="s">
        <v>673</v>
      </c>
    </row>
    <row r="24">
      <c r="A24" s="37" t="s">
        <v>676</v>
      </c>
    </row>
    <row r="25">
      <c r="A25" s="37" t="s">
        <v>677</v>
      </c>
    </row>
    <row r="26">
      <c r="A26" s="37" t="s">
        <v>678</v>
      </c>
    </row>
    <row r="27">
      <c r="A27" s="37" t="s">
        <v>679</v>
      </c>
    </row>
    <row r="28">
      <c r="A28" s="37" t="s">
        <v>680</v>
      </c>
    </row>
    <row r="29">
      <c r="A29" s="37" t="s">
        <v>681</v>
      </c>
    </row>
    <row r="30">
      <c r="A30" s="37" t="s">
        <v>682</v>
      </c>
    </row>
    <row r="32">
      <c r="A32" s="37" t="s">
        <v>683</v>
      </c>
    </row>
    <row r="33">
      <c r="A33" s="37" t="s">
        <v>684</v>
      </c>
      <c r="B33" s="37" t="s">
        <v>685</v>
      </c>
    </row>
    <row r="34">
      <c r="A34" s="47" t="s">
        <v>686</v>
      </c>
    </row>
    <row r="35">
      <c r="A35" s="47" t="s">
        <v>687</v>
      </c>
    </row>
    <row r="36">
      <c r="A36" s="47" t="s">
        <v>688</v>
      </c>
    </row>
    <row r="37">
      <c r="A37" s="47" t="s">
        <v>689</v>
      </c>
    </row>
    <row r="38">
      <c r="A38" s="47" t="s">
        <v>690</v>
      </c>
    </row>
    <row r="39">
      <c r="A39" s="37" t="s">
        <v>682</v>
      </c>
    </row>
    <row r="41">
      <c r="A41" s="37" t="s">
        <v>691</v>
      </c>
    </row>
    <row r="42">
      <c r="A42" s="37" t="s">
        <v>692</v>
      </c>
      <c r="B42" s="37" t="s">
        <v>693</v>
      </c>
    </row>
    <row r="44">
      <c r="A44" s="37" t="s">
        <v>694</v>
      </c>
    </row>
    <row r="45">
      <c r="A45" s="37" t="s">
        <v>695</v>
      </c>
    </row>
  </sheetData>
  <drawing r:id="rId1"/>
</worksheet>
</file>
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 Info" sheetId="1" r:id="rId1"/>
    <sheet name="Tier List" sheetId="2" r:id="rId2"/>
    <sheet name="Mod List" sheetId="3" r:id="rId3"/>
    <sheet name="Level Costs" sheetId="4" r:id="rId4"/>
    <sheet name="Crate Chances" sheetId="5" r:id="rId5"/>
    <sheet name="Sheet6" sheetId="6" r:id="rId6"/>
  </sheets>
  <definedNames>
    <definedName name="_xlnm._FilterDatabase" localSheetId="0" hidden="1">'Unit Info'!$A$1:$AA$1000</definedName>
    <definedName name="_xlnm._FilterDatabase" localSheetId="1" hidden="1">'Tier List'!$B$1:$B$1000</definedName>
    <definedName name="_xlnm._FilterDatabase" localSheetId="2" hidden="1">'Mod List'!$A$1:$Z$30</definedName>
    <definedName name="MY_FUNCTION1">LAMBDA(SORT(UNIQUE(IMPORTRANGE("1CG1QQI8OyvNVglxqlqPT9fqRo7FNy3SJfpLGvZcMxvQ", "UnitInfo!A:A"))))</definedName>
  </definedNames>
</workbook>
</file>

<file path=xl/comments1.xml><?xml version="1.0" encoding="utf-8"?>
<comments xmlns="http://schemas.openxmlformats.org/spreadsheetml/2006/main">
  <authors>
    <author>sheetjsghost</author>
  </authors>
  <commentList>
    <comment ref="A24" authorId="0">
      <text>
        <t xml:space="preserve">Triton
	-CRELLY</t>
      </text>
    </comment>
    <comment ref="A159" authorId="0">
      <text>
        <t xml:space="preserve">No Artemis on this list
	-CRELLY</t>
      </text>
    </comment>
    <comment ref="A160" authorId="0">
      <text>
        <t xml:space="preserve">ASH ADD ARTEMIS
	-CRELLY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BlackDragon2435/UnitsBGWiki/main/assets/GoblinAxeman_Rare.jpg" TargetMode="External"/><Relationship Id="rId2" Type="http://schemas.openxmlformats.org/officeDocument/2006/relationships/hyperlink" Target="https://raw.githubusercontent.com/BlackDragon2435/UnitsBGWiki/main/assets/Berserker_Mythic.jpg" TargetMode="External"/><Relationship Id="rId3" Type="http://schemas.openxmlformats.org/officeDocument/2006/relationships/hyperlink" Target="https://raw.githubusercontent.com/BlackDragon2435/UnitsBGWiki/main/assets/OmelaTree_Demonic.jpg" TargetMode="External"/><Relationship Id="rId4" Type="http://schemas.openxmlformats.org/officeDocument/2006/relationships/hyperlink" Target="https://raw.githubusercontent.com/BlackDragon2435/UnitsBGWiki/main/assets/DemonicArbalester_Legendary.jpg" TargetMode="External"/><Relationship Id="rId5" Type="http://schemas.openxmlformats.org/officeDocument/2006/relationships/hyperlink" Target="https://raw.githubusercontent.com/BlackDragon2435/UnitsBGWiki/main/assets/Bartender_Legendary.jpg" TargetMode="External"/><Relationship Id="rId6" Type="http://schemas.openxmlformats.org/officeDocument/2006/relationships/hyperlink" Target="https://placehold.co/60x60/cccccc/333333?text=LW" TargetMode="External"/><Relationship Id="rId7" Type="http://schemas.openxmlformats.org/officeDocument/2006/relationships/hyperlink" Target="https://raw.githubusercontent.com/BlackDragon2435/UnitsBGWiki/main/assets/Miner_Uncommon.jpg" TargetMode="External"/><Relationship Id="rId8" Type="http://schemas.openxmlformats.org/officeDocument/2006/relationships/hyperlink" Target="https://placehold.co/60x60/cccccc/333333?text=TIQ" TargetMode="External"/><Relationship Id="rId9" Type="http://schemas.openxmlformats.org/officeDocument/2006/relationships/hyperlink" Target="https://placehold.co/60x60/cccccc/333333?text=EP" TargetMode="External"/><Relationship Id="rId10" Type="http://schemas.openxmlformats.org/officeDocument/2006/relationships/hyperlink" Target="https://raw.githubusercontent.com/BlackDragon2435/UnitsBGWiki/main/assets/GoblinAssassin_Rare.jpg" TargetMode="External"/><Relationship Id="rId11" Type="http://schemas.openxmlformats.org/officeDocument/2006/relationships/hyperlink" Target="https://raw.githubusercontent.com/BlackDragon2435/UnitsBGWiki/main/assets/Succubus_Mythic.jpg" TargetMode="External"/><Relationship Id="rId12" Type="http://schemas.openxmlformats.org/officeDocument/2006/relationships/hyperlink" Target="https://raw.githubusercontent.com/BlackDragon2435/UnitsBGWiki/main/assets/Witch_Mythic.jpg" TargetMode="External"/><Relationship Id="rId13" Type="http://schemas.openxmlformats.org/officeDocument/2006/relationships/hyperlink" Target="https://raw.githubusercontent.com/BlackDragon2435/UnitsBGWiki/main/assets/Wizard_Rare.jpg" TargetMode="External"/><Relationship Id="rId14" Type="http://schemas.openxmlformats.org/officeDocument/2006/relationships/hyperlink" Target="https://raw.githubusercontent.com/BlackDragon2435/UnitsBGWiki/main/assets/Gryla_Mythic.jpg" TargetMode="External"/><Relationship Id="rId15" Type="http://schemas.openxmlformats.org/officeDocument/2006/relationships/hyperlink" Target="https://raw.githubusercontent.com/BlackDragon2435/UnitsBGWiki/main/assets/PirateAssassinator_Epic.jpg" TargetMode="External"/><Relationship Id="rId16" Type="http://schemas.openxmlformats.org/officeDocument/2006/relationships/hyperlink" Target="https://raw.githubusercontent.com/BlackDragon2435/UnitsBGWiki/main/assets/Yeti_Mythic.jpg" TargetMode="External"/><Relationship Id="rId17" Type="http://schemas.openxmlformats.org/officeDocument/2006/relationships/hyperlink" Target="https://raw.githubusercontent.com/BlackDragon2435/UnitsBGWiki/main/assets/Pyromancer_Rare.jpg" TargetMode="External"/><Relationship Id="rId18" Type="http://schemas.openxmlformats.org/officeDocument/2006/relationships/hyperlink" Target="https://placehold.co/60x60/cccccc/333333?text=D" TargetMode="External"/><Relationship Id="rId19" Type="http://schemas.openxmlformats.org/officeDocument/2006/relationships/hyperlink" Target="https://placehold.co/60x60/cccccc/333333?text=SW" TargetMode="External"/><Relationship Id="rId20" Type="http://schemas.openxmlformats.org/officeDocument/2006/relationships/hyperlink" Target="https://placehold.co/60x60/cccccc/333333?text=PQ" TargetMode="External"/><Relationship Id="rId21" Type="http://schemas.openxmlformats.org/officeDocument/2006/relationships/hyperlink" Target="https://placehold.co/60x60/cccccc/333333?text=VW" TargetMode="External"/><Relationship Id="rId22" Type="http://schemas.openxmlformats.org/officeDocument/2006/relationships/hyperlink" Target="https://raw.githubusercontent.com/BlackDragon2435/UnitsBGWiki/main/assets/ElvenWarrior_Rare.jpg" TargetMode="External"/><Relationship Id="rId23" Type="http://schemas.openxmlformats.org/officeDocument/2006/relationships/hyperlink" Target="https://placehold.co/60x60/cccccc/333333?text=T(P)" TargetMode="External"/><Relationship Id="rId24" Type="http://schemas.openxmlformats.org/officeDocument/2006/relationships/hyperlink" Target="https://placehold.co/60x60/cccccc/333333?text=R" TargetMode="External"/><Relationship Id="rId25" Type="http://schemas.openxmlformats.org/officeDocument/2006/relationships/hyperlink" Target="https://raw.githubusercontent.com/BlackDragon2435/UnitsBGWiki/main/assets/ElvenDruid_Legendary.jpg" TargetMode="External"/><Relationship Id="rId26" Type="http://schemas.openxmlformats.org/officeDocument/2006/relationships/hyperlink" Target="https://raw.githubusercontent.com/BlackDragon2435/UnitsBGWiki/main/assets/TheAdmiral_Mythic.jpg" TargetMode="External"/><Relationship Id="rId27" Type="http://schemas.openxmlformats.org/officeDocument/2006/relationships/hyperlink" Target="https://raw.githubusercontent.com/BlackDragon2435/UnitsBGWiki/main/assets/Oceanid_Mythic.jpg" TargetMode="External"/><Relationship Id="rId28" Type="http://schemas.openxmlformats.org/officeDocument/2006/relationships/hyperlink" Target="https://placehold.co/60x60/cccccc/333333?text=V" TargetMode="External"/><Relationship Id="rId29" Type="http://schemas.openxmlformats.org/officeDocument/2006/relationships/hyperlink" Target="https://raw.githubusercontent.com/BlackDragon2435/UnitsBGWiki/main/assets/FireArcher_Epic.jpg" TargetMode="External"/><Relationship Id="rId30" Type="http://schemas.openxmlformats.org/officeDocument/2006/relationships/hyperlink" Target="https://raw.githubusercontent.com/BlackDragon2435/UnitsBGWiki/main/assets/NoobOnTheBeach_Legendary.jpg" TargetMode="External"/><Relationship Id="rId31" Type="http://schemas.openxmlformats.org/officeDocument/2006/relationships/hyperlink" Target="https://raw.githubusercontent.com/BlackDragon2435/UnitsBGWiki/main/assets/GoblinShaman_Rare.jpg" TargetMode="External"/><Relationship Id="rId32" Type="http://schemas.openxmlformats.org/officeDocument/2006/relationships/hyperlink" Target="https://raw.githubusercontent.com/BlackDragon2435/UnitsBGWiki/main/assets/DarkHerald_Mythic.jpg" TargetMode="External"/><Relationship Id="rId33" Type="http://schemas.openxmlformats.org/officeDocument/2006/relationships/hyperlink" Target="https://raw.githubusercontent.com/BlackDragon2435/UnitsBGWiki/main/assets/Vampire_Epic.jpg" TargetMode="External"/><Relationship Id="rId34" Type="http://schemas.openxmlformats.org/officeDocument/2006/relationships/hyperlink" Target="https://placehold.co/60x60/cccccc/333333?text=C" TargetMode="External"/><Relationship Id="rId35" Type="http://schemas.openxmlformats.org/officeDocument/2006/relationships/hyperlink" Target="https://raw.githubusercontent.com/BlackDragon2435/UnitsBGWiki/main/assets/Crabman_Epic.jpg" TargetMode="External"/><Relationship Id="rId36" Type="http://schemas.openxmlformats.org/officeDocument/2006/relationships/hyperlink" Target="https://raw.githubusercontent.com/BlackDragon2435/UnitsBGWiki/main/assets/Barbarian_Epic.jpg" TargetMode="External"/><Relationship Id="rId37" Type="http://schemas.openxmlformats.org/officeDocument/2006/relationships/hyperlink" Target="https://placehold.co/60x60/cccccc/333333?text=TR" TargetMode="External"/><Relationship Id="rId38" Type="http://schemas.openxmlformats.org/officeDocument/2006/relationships/hyperlink" Target="https://raw.githubusercontent.com/BlackDragon2435/UnitsBGWiki/main/assets/Spearman_Rare.jpg" TargetMode="External"/><Relationship Id="rId39" Type="http://schemas.openxmlformats.org/officeDocument/2006/relationships/hyperlink" Target="https://placehold.co/60x60/cccccc/333333?text=EW" TargetMode="External"/><Relationship Id="rId40" Type="http://schemas.openxmlformats.org/officeDocument/2006/relationships/hyperlink" Target="https://placehold.co/60x60/cccccc/333333?text=N" TargetMode="External"/><Relationship Id="rId41" Type="http://schemas.openxmlformats.org/officeDocument/2006/relationships/hyperlink" Target="https://placehold.co/60x60/cccccc/333333?text=A" TargetMode="External"/><Relationship Id="rId42" Type="http://schemas.openxmlformats.org/officeDocument/2006/relationships/hyperlink" Target="https://raw.githubusercontent.com/BlackDragon2435/UnitsBGWiki/main/assets/GoblinArcher_Uncommon.jpg" TargetMode="External"/><Relationship Id="rId43" Type="http://schemas.openxmlformats.org/officeDocument/2006/relationships/hyperlink" Target="https://placehold.co/60x60/cccccc/333333?text=H" TargetMode="External"/><Relationship Id="rId44" Type="http://schemas.openxmlformats.org/officeDocument/2006/relationships/hyperlink" Target="https://raw.githubusercontent.com/BlackDragon2435/UnitsBGWiki/main/assets/Bandit_Mythic.jpg" TargetMode="External"/><Relationship Id="rId45" Type="http://schemas.openxmlformats.org/officeDocument/2006/relationships/hyperlink" Target="https://raw.githubusercontent.com/BlackDragon2435/UnitsBGWiki/main/assets/Sharkman_Epic.jpg" TargetMode="External"/><Relationship Id="rId46" Type="http://schemas.openxmlformats.org/officeDocument/2006/relationships/hyperlink" Target="https://raw.githubusercontent.com/BlackDragon2435/UnitsBGWiki/main/assets/Squire_Rare.jpg" TargetMode="External"/><Relationship Id="rId47" Type="http://schemas.openxmlformats.org/officeDocument/2006/relationships/hyperlink" Target="https://raw.githubusercontent.com/BlackDragon2435/UnitsBGWiki/main/assets/Gladiator_Epic.jpg" TargetMode="External"/><Relationship Id="rId48" Type="http://schemas.openxmlformats.org/officeDocument/2006/relationships/hyperlink" Target="https://placehold.co/60x60/cccccc/333333?text=SD" TargetMode="External"/><Relationship Id="rId49" Type="http://schemas.openxmlformats.org/officeDocument/2006/relationships/hyperlink" Target="https://raw.githubusercontent.com/BlackDragon2435/UnitsBGWiki/main/assets/Peasant_Uncommon.jpg" TargetMode="External"/><Relationship Id="rId50" Type="http://schemas.openxmlformats.org/officeDocument/2006/relationships/hyperlink" Target="https://raw.githubusercontent.com/BlackDragon2435/UnitsBGWiki/main/assets/Frostflame_Legendary.jpg" TargetMode="External"/><Relationship Id="rId51" Type="http://schemas.openxmlformats.org/officeDocument/2006/relationships/hyperlink" Target="https://placehold.co/60x60/cccccc/333333?text=SA" TargetMode="External"/><Relationship Id="rId52" Type="http://schemas.openxmlformats.org/officeDocument/2006/relationships/hyperlink" Target="https://raw.githubusercontent.com/BlackDragon2435/UnitsBGWiki/main/assets/GoblinTank_Rare.jpg" TargetMode="External"/><Relationship Id="rId53" Type="http://schemas.openxmlformats.org/officeDocument/2006/relationships/hyperlink" Target="https://placehold.co/60x60/cccccc/333333?text=SM" TargetMode="External"/><Relationship Id="rId54" Type="http://schemas.openxmlformats.org/officeDocument/2006/relationships/hyperlink" Target="https://raw.githubusercontent.com/BlackDragon2435/UnitsBGWiki/main/assets/GoblinKing_Legendary.jpg" TargetMode="External"/><Relationship Id="rId55" Type="http://schemas.openxmlformats.org/officeDocument/2006/relationships/hyperlink" Target="https://raw.githubusercontent.com/BlackDragon2435/UnitsBGWiki/main/assets/PeasantArcher_Uncommon.jpg" TargetMode="External"/><Relationship Id="rId56" Type="http://schemas.openxmlformats.org/officeDocument/2006/relationships/hyperlink" Target="https://raw.githubusercontent.com/BlackDragon2435/UnitsBGWiki/main/assets/NoobShaman_Rare.jpg" TargetMode="External"/><Relationship Id="rId57" Type="http://schemas.openxmlformats.org/officeDocument/2006/relationships/hyperlink" Target="https://placehold.co/60x60/cccccc/333333?text=BGW" TargetMode="External"/><Relationship Id="rId58" Type="http://schemas.openxmlformats.org/officeDocument/2006/relationships/hyperlink" Target="https://raw.githubusercontent.com/BlackDragon2435/UnitsBGWiki/main/assets/SkeletonMage_Rare.jpg" TargetMode="External"/><Relationship Id="rId59" Type="http://schemas.openxmlformats.org/officeDocument/2006/relationships/hyperlink" Target="https://raw.githubusercontent.com/BlackDragon2435/UnitsBGWiki/main/assets/Commander_Demonic.jpg" TargetMode="External"/><Relationship Id="rId60" Type="http://schemas.openxmlformats.org/officeDocument/2006/relationships/hyperlink" Target="https://raw.githubusercontent.com/BlackDragon2435/UnitsBGWiki/main/assets/ElvenSniper_Legendary.jpg" TargetMode="External"/><Relationship Id="rId61" Type="http://schemas.openxmlformats.org/officeDocument/2006/relationships/hyperlink" Target="https://placehold.co/60x60/cccccc/333333?text=CEW" TargetMode="External"/><Relationship Id="rId62" Type="http://schemas.openxmlformats.org/officeDocument/2006/relationships/hyperlink" Target="https://raw.githubusercontent.com/BlackDragon2435/UnitsBGWiki/main/assets/Krampus_Demonic.jpg" TargetMode="External"/><Relationship Id="rId63" Type="http://schemas.openxmlformats.org/officeDocument/2006/relationships/hyperlink" Target="https://raw.githubusercontent.com/BlackDragon2435/UnitsBGWiki/main/assets/TheIceQueenSmall_Mythic.jpg" TargetMode="External"/><Relationship Id="rId64" Type="http://schemas.openxmlformats.org/officeDocument/2006/relationships/hyperlink" Target="https://raw.githubusercontent.com/BlackDragon2435/UnitsBGWiki/main/assets/SmallBlackDragon_Ancient.jpg" TargetMode="External"/><Relationship Id="rId65" Type="http://schemas.openxmlformats.org/officeDocument/2006/relationships/hyperlink" Target="https://placehold.co/60x60/cccccc/333333?text=BM" TargetMode="External"/><Relationship Id="rId66" Type="http://schemas.openxmlformats.org/officeDocument/2006/relationships/hyperlink" Target="https://placehold.co/60x60/cccccc/333333?text=B" TargetMode="External"/><Relationship Id="rId67" Type="http://schemas.openxmlformats.org/officeDocument/2006/relationships/hyperlink" Target="https://raw.githubusercontent.com/BlackDragon2435/UnitsBGWiki/main/assets/CandyCane_Mythic.jpg" TargetMode="External"/><Relationship Id="rId68" Type="http://schemas.openxmlformats.org/officeDocument/2006/relationships/hyperlink" Target="https://raw.githubusercontent.com/BlackDragon2435/UnitsBGWiki/main/assets/PirateShooter_Rare.jpg" TargetMode="External"/><Relationship Id="rId69" Type="http://schemas.openxmlformats.org/officeDocument/2006/relationships/hyperlink" Target="https://raw.githubusercontent.com/BlackDragon2435/UnitsBGWiki/main/assets/Boatswain_Epic.jpg" TargetMode="External"/><Relationship Id="rId70" Type="http://schemas.openxmlformats.org/officeDocument/2006/relationships/hyperlink" Target="https://raw.githubusercontent.com/BlackDragon2435/UnitsBGWiki/main/assets/PirateSailor_Uncommon.jpg" TargetMode="External"/><Relationship Id="rId71" Type="http://schemas.openxmlformats.org/officeDocument/2006/relationships/hyperlink" Target="https://raw.githubusercontent.com/BlackDragon2435/UnitsBGWiki/main/assets/Vendigo_Mythic.jpg" TargetMode="External"/><Relationship Id="rId72" Type="http://schemas.openxmlformats.org/officeDocument/2006/relationships/hyperlink" Target="https://raw.githubusercontent.com/BlackDragon2435/UnitsBGWiki/main/assets/SmallHeadlessKnight_Mythic.jpg" TargetMode="External"/><Relationship Id="rId73" Type="http://schemas.openxmlformats.org/officeDocument/2006/relationships/hyperlink" Target="https://raw.githubusercontent.com/BlackDragon2435/UnitsBGWiki/main/assets/Trifang_Mythic.jpg" TargetMode="External"/><Relationship Id="rId74" Type="http://schemas.openxmlformats.org/officeDocument/2006/relationships/hyperlink" Target="https://raw.githubusercontent.com/BlackDragon2435/UnitsBGWiki/main/assets/DragonDemon_Legendary.jpg" TargetMode="External"/><Relationship Id="rId75" Type="http://schemas.openxmlformats.org/officeDocument/2006/relationships/hyperlink" Target="https://raw.githubusercontent.com/BlackDragon2435/UnitsBGWiki/main/assets/CrimsonAssassin_Mythic.jpg" TargetMode="External"/><Relationship Id="rId76" Type="http://schemas.openxmlformats.org/officeDocument/2006/relationships/hyperlink" Target="https://placehold.co/60x60/cccccc/333333?text=V" TargetMode="External"/><Relationship Id="rId77" Type="http://schemas.openxmlformats.org/officeDocument/2006/relationships/hyperlink" Target="https://raw.githubusercontent.com/BlackDragon2435/UnitsBGWiki/main/assets/Torturer_Mythic.jpg" TargetMode="External"/><Relationship Id="rId78" Type="http://schemas.openxmlformats.org/officeDocument/2006/relationships/hyperlink" Target="https://raw.githubusercontent.com/BlackDragon2435/UnitsBGWiki/main/assets/Rhythmclaw_Mythic.jpg" TargetMode="External"/><Relationship Id="rId79" Type="http://schemas.openxmlformats.org/officeDocument/2006/relationships/hyperlink" Target="https://placehold.co/60x60/cccccc/333333?text=EA" TargetMode="External"/><Relationship Id="rId80" Type="http://schemas.openxmlformats.org/officeDocument/2006/relationships/hyperlink" Target="https://placehold.co/60x60/cccccc/333333?text=GKS" TargetMode="External"/><Relationship Id="rId81" Type="http://schemas.openxmlformats.org/officeDocument/2006/relationships/hyperlink" Target="https://raw.githubusercontent.com/BlackDragon2435/UnitsBGWiki/main/assets/SmallPoseidon_Ancient.jpg" TargetMode="External"/><Relationship Id="rId82" Type="http://schemas.openxmlformats.org/officeDocument/2006/relationships/hyperlink" Target="https://raw.githubusercontent.com/BlackDragon2435/UnitsBGWiki/main/assets/Medusa_Demonic.jpg" TargetMode="External"/><Relationship Id="rId83" Type="http://schemas.openxmlformats.org/officeDocument/2006/relationships/hyperlink" Target="https://placehold.co/60x60/cccccc/333333?text=KM" TargetMode="External"/><Relationship Id="rId84" Type="http://schemas.openxmlformats.org/officeDocument/2006/relationships/hyperlink" Target="https://raw.githubusercontent.com/BlackDragon2435/UnitsBGWiki/main/assets/DragonSlayer_Mythic.jpg" TargetMode="External"/><Relationship Id="rId85" Type="http://schemas.openxmlformats.org/officeDocument/2006/relationships/hyperlink" Target="https://raw.githubusercontent.com/BlackDragon2435/UnitsBGWiki/main/assets/Angel_Mythic.jpg" TargetMode="External"/><Relationship Id="rId86" Type="http://schemas.openxmlformats.org/officeDocument/2006/relationships/hyperlink" Target="https://raw.githubusercontent.com/BlackDragon2435/UnitsBGWiki/main/assets/DragonBerserker_Legendary.jpg" TargetMode="External"/><Relationship Id="rId87" Type="http://schemas.openxmlformats.org/officeDocument/2006/relationships/hyperlink" Target="https://placehold.co/60x60/cccccc/333333?text=C" TargetMode="External"/><Relationship Id="rId88" Type="http://schemas.openxmlformats.org/officeDocument/2006/relationships/hyperlink" Target="https://raw.githubusercontent.com/BlackDragon2435/UnitsBGWiki/main/assets/Viperfang_Mythic.jpg" TargetMode="External"/><Relationship Id="rId89" Type="http://schemas.openxmlformats.org/officeDocument/2006/relationships/hyperlink" Target="https://raw.githubusercontent.com/BlackDragon2435/UnitsBGWiki/main/assets/Chaosflare_Demonic.jpg" TargetMode="External"/><Relationship Id="rId90" Type="http://schemas.openxmlformats.org/officeDocument/2006/relationships/hyperlink" Target="https://raw.githubusercontent.com/BlackDragon2435/UnitsBGWiki/main/assets/Thanatos_Demonic.jpg" TargetMode="External"/><Relationship Id="rId91" Type="http://schemas.openxmlformats.org/officeDocument/2006/relationships/hyperlink" Target="https://placehold.co/60x60/cccccc/333333?text=Z" TargetMode="External"/><Relationship Id="rId92" Type="http://schemas.openxmlformats.org/officeDocument/2006/relationships/hyperlink" Target="https://raw.githubusercontent.com/BlackDragon2435/UnitsBGWiki/main/assets/DemonicCureflare_Demonic.jpg" TargetMode="External"/><Relationship Id="rId93" Type="http://schemas.openxmlformats.org/officeDocument/2006/relationships/hyperlink" Target="https://raw.githubusercontent.com/BlackDragon2435/UnitsBGWiki/main/assets/PlagueDoctor_Epic.jpg" TargetMode="External"/><Relationship Id="rId94" Type="http://schemas.openxmlformats.org/officeDocument/2006/relationships/hyperlink" Target="https://raw.githubusercontent.com/BlackDragon2435/UnitsBGWiki/main/assets/SkeletonSamurai_Epic.jpg" TargetMode="External"/><Relationship Id="rId95" Type="http://schemas.openxmlformats.org/officeDocument/2006/relationships/hyperlink" Target="https://placehold.co/60x60/cccccc/333333?text=T" TargetMode="External"/><Relationship Id="rId96" Type="http://schemas.openxmlformats.org/officeDocument/2006/relationships/hyperlink" Target="https://raw.githubusercontent.com/BlackDragon2435/UnitsBGWiki/main/assets/HeadlessKnight_Mythic.jpg" TargetMode="External"/><Relationship Id="rId97" Type="http://schemas.openxmlformats.org/officeDocument/2006/relationships/hyperlink" Target="https://raw.githubusercontent.com/BlackDragon2435/UnitsBGWiki/main/assets/Marksman_Mythic.jpg" TargetMode="External"/><Relationship Id="rId98" Type="http://schemas.openxmlformats.org/officeDocument/2006/relationships/hyperlink" Target="https://placehold.co/60x60/cccccc/333333?text=S" TargetMode="External"/><Relationship Id="rId99" Type="http://schemas.openxmlformats.org/officeDocument/2006/relationships/hyperlink" Target="https://raw.githubusercontent.com/BlackDragon2435/UnitsBGWiki/main/assets/PirateSailorShooter_Uncommon.jpg" TargetMode="External"/><Relationship Id="rId100" Type="http://schemas.openxmlformats.org/officeDocument/2006/relationships/hyperlink" Target="https://raw.githubusercontent.com/BlackDragon2435/UnitsBGWiki/main/assets/CursedMagician_Epic.jpg" TargetMode="External"/><Relationship Id="rId101" Type="http://schemas.openxmlformats.org/officeDocument/2006/relationships/hyperlink" Target="https://raw.githubusercontent.com/BlackDragon2435/UnitsBGWiki/main/assets/SeaDevil_Mythic.jpg" TargetMode="External"/><Relationship Id="rId102" Type="http://schemas.openxmlformats.org/officeDocument/2006/relationships/hyperlink" Target="https://placehold.co/60x60/cccccc/333333?text=E" TargetMode="External"/><Relationship Id="rId103" Type="http://schemas.openxmlformats.org/officeDocument/2006/relationships/hyperlink" Target="https://raw.githubusercontent.com/BlackDragon2435/UnitsBGWiki/main/assets/Zombie_Uncommon.jpg" TargetMode="External"/><Relationship Id="rId104" Type="http://schemas.openxmlformats.org/officeDocument/2006/relationships/hyperlink" Target="https://placehold.co/60x60/cccccc/333333?text=N" TargetMode="External"/><Relationship Id="rId105" Type="http://schemas.openxmlformats.org/officeDocument/2006/relationships/hyperlink" Target="https://raw.githubusercontent.com/BlackDragon2435/UnitsBGWiki/main/assets/Necromancer_Mythic.jpg" TargetMode="External"/><Relationship Id="rId106" Type="http://schemas.openxmlformats.org/officeDocument/2006/relationships/hyperlink" Target="https://raw.githubusercontent.com/BlackDragon2435/UnitsBGWiki/main/assets/AncientVampire_Demonic.jpg" TargetMode="External"/><Relationship Id="rId107" Type="http://schemas.openxmlformats.org/officeDocument/2006/relationships/hyperlink" Target="https://raw.githubusercontent.com/BlackDragon2435/UnitsBGWiki/main/assets/ChristmasElfSwordman_Legendary.jpg" TargetMode="External"/><Relationship Id="rId108" Type="http://schemas.openxmlformats.org/officeDocument/2006/relationships/hyperlink" Target="https://placehold.co/60x60/cccccc/333333?text=N" TargetMode="External"/><Relationship Id="rId109" Type="http://schemas.openxmlformats.org/officeDocument/2006/relationships/hyperlink" Target="https://raw.githubusercontent.com/BlackDragon2435/UnitsBGWiki/main/assets/CageMan_Mythic.jpg" TargetMode="External"/><Relationship Id="rId110" Type="http://schemas.openxmlformats.org/officeDocument/2006/relationships/hyperlink" Target="https://placehold.co/60x60/cccccc/333333?text=DT" TargetMode="External"/><Relationship Id="rId111" Type="http://schemas.openxmlformats.org/officeDocument/2006/relationships/hyperlink" Target="https://raw.githubusercontent.com/BlackDragon2435/UnitsBGWiki/main/assets/EntSmall_Mythic.jpg" TargetMode="External"/><Relationship Id="rId112" Type="http://schemas.openxmlformats.org/officeDocument/2006/relationships/hyperlink" Target="https://placehold.co/60x60/cccccc/333333?text=D" TargetMode="External"/><Relationship Id="rId113" Type="http://schemas.openxmlformats.org/officeDocument/2006/relationships/hyperlink" Target="https://placehold.co/60x60/cccccc/333333?text=EW" TargetMode="External"/><Relationship Id="rId114" Type="http://schemas.openxmlformats.org/officeDocument/2006/relationships/hyperlink" Target="https://raw.githubusercontent.com/BlackDragon2435/UnitsBGWiki/main/assets/CrossbowMan_Rare.jpg" TargetMode="External"/><Relationship Id="rId115" Type="http://schemas.openxmlformats.org/officeDocument/2006/relationships/hyperlink" Target="https://placehold.co/60x60/cccccc/333333?text=G" TargetMode="External"/><Relationship Id="rId116" Type="http://schemas.openxmlformats.org/officeDocument/2006/relationships/hyperlink" Target="https://raw.githubusercontent.com/BlackDragon2435/UnitsBGWiki/main/assets/SpookyGhost_Epic.jpg" TargetMode="External"/><Relationship Id="rId117" Type="http://schemas.openxmlformats.org/officeDocument/2006/relationships/hyperlink" Target="https://raw.githubusercontent.com/BlackDragon2435/UnitsBGWiki/main/assets/SkeletonTank_Rare.jpg" TargetMode="External"/><Relationship Id="rId118" Type="http://schemas.openxmlformats.org/officeDocument/2006/relationships/hyperlink" Target="https://raw.githubusercontent.com/BlackDragon2435/UnitsBGWiki/main/assets/DragonKnight_Legendary.jpg" TargetMode="External"/><Relationship Id="rId119" Type="http://schemas.openxmlformats.org/officeDocument/2006/relationships/hyperlink" Target="https://raw.githubusercontent.com/BlackDragon2435/UnitsBGWiki/main/assets/ChristmasElfArcher_Legendary.jpg" TargetMode="External"/><Relationship Id="rId120" Type="http://schemas.openxmlformats.org/officeDocument/2006/relationships/hyperlink" Target="https://placehold.co/60x60/cccccc/333333?text=MS" TargetMode="External"/><Relationship Id="rId121" Type="http://schemas.openxmlformats.org/officeDocument/2006/relationships/hyperlink" Target="https://raw.githubusercontent.com/BlackDragon2435/UnitsBGWiki/main/assets/SkeletonWarrior_Uncommon.jpg" TargetMode="External"/><Relationship Id="rId122" Type="http://schemas.openxmlformats.org/officeDocument/2006/relationships/hyperlink" Target="https://placehold.co/60x60/cccccc/333333?text=S" TargetMode="External"/><Relationship Id="rId123" Type="http://schemas.openxmlformats.org/officeDocument/2006/relationships/hyperlink" Target="https://placehold.co/60x60/cccccc/333333?text=BGA" TargetMode="External"/><Relationship Id="rId124" Type="http://schemas.openxmlformats.org/officeDocument/2006/relationships/hyperlink" Target="https://raw.githubusercontent.com/BlackDragon2435/UnitsBGWiki/main/assets/PirateCaptain_Epic.jpg" TargetMode="External"/><Relationship Id="rId125" Type="http://schemas.openxmlformats.org/officeDocument/2006/relationships/hyperlink" Target="https://raw.githubusercontent.com/BlackDragon2435/UnitsBGWiki/main/assets/PoolPartyBlaster_Mythic.jpg" TargetMode="External"/><Relationship Id="rId126" Type="http://schemas.openxmlformats.org/officeDocument/2006/relationships/hyperlink" Target="https://placehold.co/60x60/cccccc/333333?text=S" TargetMode="External"/><Relationship Id="rId127" Type="http://schemas.openxmlformats.org/officeDocument/2006/relationships/hyperlink" Target="https://placehold.co/60x60/cccccc/333333?text=NT" TargetMode="External"/><Relationship Id="rId128" Type="http://schemas.openxmlformats.org/officeDocument/2006/relationships/hyperlink" Target="https://placehold.co/60x60/cccccc/333333?text=A" TargetMode="External"/><Relationship Id="rId129" Type="http://schemas.openxmlformats.org/officeDocument/2006/relationships/hyperlink" Target="https://raw.githubusercontent.com/BlackDragon2435/UnitsBGWiki/main/assets/Cryomancer_Epic.jpg" TargetMode="External"/><Relationship Id="rId130" Type="http://schemas.openxmlformats.org/officeDocument/2006/relationships/hyperlink" Target="https://placehold.co/60x60/cccccc/333333?text=DC" TargetMode="External"/><Relationship Id="rId131" Type="http://schemas.openxmlformats.org/officeDocument/2006/relationships/hyperlink" Target="https://raw.githubusercontent.com/BlackDragon2435/UnitsBGWiki/main/assets/GoblinWarrior_Uncommon.jpg" TargetMode="External"/><Relationship Id="rId132" Type="http://schemas.openxmlformats.org/officeDocument/2006/relationships/hyperlink" Target="https://raw.githubusercontent.com/BlackDragon2435/UnitsBGWiki/main/assets/TheAdmiralSmall_Mythic.jpg" TargetMode="External"/><Relationship Id="rId133" Type="http://schemas.openxmlformats.org/officeDocument/2006/relationships/hyperlink" Target="https://raw.githubusercontent.com/BlackDragon2435/UnitsBGWiki/main/assets/LivingArmor_Mythic.jpg" TargetMode="External"/><Relationship Id="rId134" Type="http://schemas.openxmlformats.org/officeDocument/2006/relationships/hyperlink" Target="https://raw.githubusercontent.com/BlackDragon2435/UnitsBGWiki/main/assets/SmallAncientVampire_Demonic.jpg" TargetMode="External"/><Relationship Id="rId135" Type="http://schemas.openxmlformats.org/officeDocument/2006/relationships/hyperlink" Target="https://raw.githubusercontent.com/BlackDragon2435/UnitsBGWiki/main/assets/LivingMummy_Legendary.jpg" TargetMode="External"/><Relationship Id="rId136" Type="http://schemas.openxmlformats.org/officeDocument/2006/relationships/hyperlink" Target="https://raw.githubusercontent.com/BlackDragon2435/UnitsBGWiki/main/assets/Warrior_Uncommon.jpg" TargetMode="External"/><Relationship Id="rId137" Type="http://schemas.openxmlformats.org/officeDocument/2006/relationships/hyperlink" Target="https://placehold.co/60x60/cccccc/333333?text=FW" TargetMode="External"/><Relationship Id="rId138" Type="http://schemas.openxmlformats.org/officeDocument/2006/relationships/hyperlink" Target="https://raw.githubusercontent.com/BlackDragon2435/UnitsBGWiki/main/assets/InfernoArcher_Demonic.jpg" TargetMode="External"/><Relationship Id="rId139" Type="http://schemas.openxmlformats.org/officeDocument/2006/relationships/hyperlink" Target="https://placehold.co/60x60/cccccc/333333?text=J" TargetMode="External"/><Relationship Id="rId140" Type="http://schemas.openxmlformats.org/officeDocument/2006/relationships/hyperlink" Target="https://raw.githubusercontent.com/BlackDragon2435/UnitsBGWiki/main/assets/Bomber_Legendary.jpg" TargetMode="External"/><Relationship Id="rId141" Type="http://schemas.openxmlformats.org/officeDocument/2006/relationships/hyperlink" Target="https://raw.githubusercontent.com/BlackDragon2435/UnitsBGWiki/main/assets/PirateMedic_Rare.jpg" TargetMode="External"/><Relationship Id="rId142" Type="http://schemas.openxmlformats.org/officeDocument/2006/relationships/hyperlink" Target="https://placehold.co/60x60/cccccc/333333?text=GK" TargetMode="External"/><Relationship Id="rId143" Type="http://schemas.openxmlformats.org/officeDocument/2006/relationships/hyperlink" Target="https://placehold.co/60x60/cccccc/333333?text=S" TargetMode="External"/><Relationship Id="rId144" Type="http://schemas.openxmlformats.org/officeDocument/2006/relationships/hyperlink" Target="https://raw.githubusercontent.com/BlackDragon2435/UnitsBGWiki/main/assets/YukiOnna_Mythic.jpg" TargetMode="External"/><Relationship Id="rId145" Type="http://schemas.openxmlformats.org/officeDocument/2006/relationships/hyperlink" Target="https://placehold.co/60x60/cccccc/333333?text=D" TargetMode="External"/><Relationship Id="rId146" Type="http://schemas.openxmlformats.org/officeDocument/2006/relationships/hyperlink" Target="https://raw.githubusercontent.com/BlackDragon2435/UnitsBGWiki/main/assets/Beachcomber_Legendary.jpg" TargetMode="External"/><Relationship Id="rId147" Type="http://schemas.openxmlformats.org/officeDocument/2006/relationships/hyperlink" Target="https://raw.githubusercontent.com/BlackDragon2435/UnitsBGWiki/main/assets/Therapist_Rare.jpg" TargetMode="External"/><Relationship Id="rId148" Type="http://schemas.openxmlformats.org/officeDocument/2006/relationships/hyperlink" Target="https://raw.githubusercontent.com/BlackDragon2435/UnitsBGWiki/main/assets/SaintNicholas_Demonic.jpg" TargetMode="External"/><Relationship Id="rId149" Type="http://schemas.openxmlformats.org/officeDocument/2006/relationships/hyperlink" Target="https://raw.githubusercontent.com/BlackDragon2435/UnitsBGWiki/main/assets/TheReaperSmall_Mythic.jpg" TargetMode="External"/><Relationship Id="rId150" Type="http://schemas.openxmlformats.org/officeDocument/2006/relationships/hyperlink" Target="https://raw.githubusercontent.com/BlackDragon2435/UnitsBGWiki/main/assets/BattleWizard_Rare.jpg" TargetMode="External"/><Relationship Id="rId151" Type="http://schemas.openxmlformats.org/officeDocument/2006/relationships/hyperlink" Target="https://placehold.co/60x60/cccccc/333333?text=SA" TargetMode="External"/><Relationship Id="rId152" Type="http://schemas.openxmlformats.org/officeDocument/2006/relationships/hyperlink" Target="https://placehold.co/60x60/cccccc/333333?text=NS(S)" TargetMode="External"/><Relationship Id="rId153" Type="http://schemas.openxmlformats.org/officeDocument/2006/relationships/hyperlink" Target="https://placehold.co/60x60/cccccc/333333?text=J(S)" TargetMode="External"/><Relationship Id="rId154" Type="http://schemas.openxmlformats.org/officeDocument/2006/relationships/hyperlink" Target="https://placehold.co/60x60/cccccc/333333?text=NW(S)" TargetMode="External"/><Relationship Id="rId155" Type="http://schemas.openxmlformats.org/officeDocument/2006/relationships/hyperlink" Target="https://placehold.co/60x60/cccccc/333333?text=SBW(S)" TargetMode="External"/><Relationship Id="rId156" Type="http://schemas.openxmlformats.org/officeDocument/2006/relationships/hyperlink" Target="https://placehold.co/60x60/cccccc/333333?text=NA(S)" TargetMode="External"/><Relationship Id="rId157" Type="http://schemas.openxmlformats.org/officeDocument/2006/relationships/vmlDrawing" Target="../drawings/vmlDrawing1.vml"/><Relationship Id="rId158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000"/>
  <sheetViews>
    <sheetView workbookViewId="0" rightToLeft="0"/>
  </sheetViews>
  <sheetData>
    <row r="1">
      <c r="A1" t="str">
        <v>UnitName</v>
      </c>
      <c r="B1" t="str">
        <v>CritChance</v>
      </c>
      <c r="C1" t="str">
        <v>Label</v>
      </c>
      <c r="D1" t="str">
        <v>ImageURL</v>
      </c>
      <c r="E1" t="str">
        <v>Class</v>
      </c>
      <c r="F1" t="str">
        <v>HPOffset</v>
      </c>
      <c r="G1" t="str">
        <v>AttackEffect</v>
      </c>
      <c r="H1" t="str">
        <v>Damage</v>
      </c>
      <c r="I1" t="str">
        <v>Knockback</v>
      </c>
      <c r="J1" t="str">
        <v>Rarity</v>
      </c>
      <c r="K1" t="str">
        <v>DPS</v>
      </c>
      <c r="L1" t="str">
        <v>Accuracy</v>
      </c>
      <c r="M1" t="str">
        <v>EvadeChance</v>
      </c>
      <c r="N1" t="str">
        <v>Distance</v>
      </c>
      <c r="O1" t="str">
        <v>ShadowStepDistance</v>
      </c>
      <c r="P1" t="str">
        <v>CritDamage</v>
      </c>
      <c r="Q1" t="str">
        <v>AttackEffectType</v>
      </c>
      <c r="R1" t="str">
        <v>AttackEffectLifesteal</v>
      </c>
      <c r="S1" t="str">
        <v>AttackEffectKey</v>
      </c>
      <c r="T1" t="str">
        <v>HP</v>
      </c>
      <c r="U1" t="str">
        <v>Cooldown</v>
      </c>
      <c r="V1" t="str">
        <v>ShadowStepCooldown</v>
      </c>
      <c r="W1" t="str">
        <v>MultiAttack</v>
      </c>
      <c r="X1" t="str">
        <v xml:space="preserve">CommunityRanking </v>
      </c>
      <c r="Y1" t="str">
        <v>Crate Info</v>
      </c>
    </row>
    <row r="2">
      <c r="A2" t="str">
        <v>GoblinAxeman</v>
      </c>
      <c r="B2" t="str">
        <v>N/A</v>
      </c>
      <c r="C2" t="str">
        <v>Goblin Axeman</v>
      </c>
      <c r="D2" t="str">
        <v>https://raw.githubusercontent.com/BlackDragon2435/UnitsBGWiki/main/assets/GoblinAxeman_Rare.jpg</v>
      </c>
      <c r="E2" t="str">
        <v>Warrior</v>
      </c>
      <c r="F2" t="str">
        <v>N/A</v>
      </c>
      <c r="G2" t="str">
        <v>N/A</v>
      </c>
      <c r="H2">
        <v>25</v>
      </c>
      <c r="I2">
        <v>0</v>
      </c>
      <c r="J2" t="str">
        <v>Rare</v>
      </c>
      <c r="K2">
        <f>IF(H2&gt;0, H2/U2, "N/A")</f>
        <v>14.28571429</v>
      </c>
      <c r="L2" t="str">
        <v>N/A</v>
      </c>
      <c r="M2" t="str">
        <v>N/A</v>
      </c>
      <c r="N2">
        <v>7</v>
      </c>
      <c r="O2" t="str">
        <v>N/A</v>
      </c>
      <c r="P2" t="str">
        <v>N/A</v>
      </c>
      <c r="Q2" t="str">
        <v>N/A</v>
      </c>
      <c r="R2" t="str">
        <v>N/A</v>
      </c>
      <c r="S2" t="str">
        <v>N/A</v>
      </c>
      <c r="T2">
        <v>120</v>
      </c>
      <c r="U2">
        <v>1.75</v>
      </c>
      <c r="V2" t="str">
        <v>N/A</v>
      </c>
      <c r="X2" t="str">
        <f>IFERROR(__xludf.DUMMYFUNCTION("IMPORTRANGE(""https://docs.google.com/spreadsheets/d/1CG1QQI8OyvNVglxqlqPT9fqRo7FNy3SJfpLGvZcMxvQ/edit?pli=1&amp;gid=0#gid=0"", ""Tier List!B2:B"")"),"")</f>
        <v/>
      </c>
      <c r="Y2" t="str">
        <v>The Goblins Cave Crate</v>
      </c>
    </row>
    <row r="3">
      <c r="A3" t="str">
        <v>Berserker</v>
      </c>
      <c r="B3" t="str">
        <v>N/A</v>
      </c>
      <c r="C3" t="str">
        <v>Berserker</v>
      </c>
      <c r="D3" t="str">
        <v>https://raw.githubusercontent.com/BlackDragon2435/UnitsBGWiki/main/assets/Berserker_Mythic.jpg</v>
      </c>
      <c r="E3" t="str">
        <v>Warrior</v>
      </c>
      <c r="F3" t="str">
        <v>N/A</v>
      </c>
      <c r="G3" t="str">
        <v>N/A</v>
      </c>
      <c r="H3">
        <v>45</v>
      </c>
      <c r="I3">
        <v>0</v>
      </c>
      <c r="J3" t="str">
        <v>Mythic</v>
      </c>
      <c r="K3">
        <f>IF(H3&gt;0, H3/U3, "N/A")</f>
        <v>32.14285714</v>
      </c>
      <c r="L3" t="str">
        <v>N/A</v>
      </c>
      <c r="M3" t="str">
        <v>N/A</v>
      </c>
      <c r="N3">
        <v>5</v>
      </c>
      <c r="O3" t="str">
        <v>N/A</v>
      </c>
      <c r="P3" t="str">
        <v>N/A</v>
      </c>
      <c r="Q3" t="str">
        <v>N/A</v>
      </c>
      <c r="R3" t="str">
        <v>N/A</v>
      </c>
      <c r="S3" t="str">
        <v>N/A</v>
      </c>
      <c r="T3">
        <v>280</v>
      </c>
      <c r="U3">
        <v>1.4</v>
      </c>
      <c r="V3" t="str">
        <v>N/A</v>
      </c>
      <c r="X3" t="str">
        <f>IFERROR(__xludf.DUMMYFUNCTION("""COMPUTED_VALUE"""),"")</f>
        <v/>
      </c>
      <c r="Y3" t="str">
        <v>Crystal crate #2</v>
      </c>
    </row>
    <row r="4">
      <c r="A4" t="str">
        <v>OmelaTree</v>
      </c>
      <c r="B4">
        <v>0.015</v>
      </c>
      <c r="C4" t="str">
        <v>Omela Tree</v>
      </c>
      <c r="D4" t="str">
        <v>https://raw.githubusercontent.com/BlackDragon2435/UnitsBGWiki/main/assets/OmelaTree_Demonic.jpg</v>
      </c>
      <c r="E4" t="str">
        <v>Tank</v>
      </c>
      <c r="F4" t="str">
        <v>N/A</v>
      </c>
      <c r="G4" t="str">
        <v>N/A</v>
      </c>
      <c r="H4">
        <v>60</v>
      </c>
      <c r="I4">
        <v>50</v>
      </c>
      <c r="J4" t="str">
        <v>Demonic</v>
      </c>
      <c r="K4">
        <f>IF(H4&gt;0, H4/U4, "N/A")</f>
        <v>30</v>
      </c>
      <c r="L4" t="str">
        <v>N/A</v>
      </c>
      <c r="M4">
        <v>0.01</v>
      </c>
      <c r="N4">
        <v>7</v>
      </c>
      <c r="O4" t="str">
        <v>N/A</v>
      </c>
      <c r="P4">
        <v>1.5</v>
      </c>
      <c r="Q4" t="str">
        <v>N/A</v>
      </c>
      <c r="R4" t="str">
        <v>N/A</v>
      </c>
      <c r="S4" t="str">
        <v>N/A</v>
      </c>
      <c r="T4">
        <v>1400</v>
      </c>
      <c r="U4">
        <v>2</v>
      </c>
      <c r="V4" t="str">
        <v>N/A</v>
      </c>
      <c r="X4" t="str">
        <f>IFERROR(__xludf.DUMMYFUNCTION("""COMPUTED_VALUE"""),"B")</f>
        <v>B</v>
      </c>
      <c r="Y4" t="str">
        <v>Not in a provided crate</v>
      </c>
    </row>
    <row r="5">
      <c r="A5" t="str">
        <v>DemonicArbalester</v>
      </c>
      <c r="B5" t="str">
        <v>N/A</v>
      </c>
      <c r="C5" t="str">
        <v>Demonic Arbalester</v>
      </c>
      <c r="D5" t="str">
        <v>https://raw.githubusercontent.com/BlackDragon2435/UnitsBGWiki/main/assets/DemonicArbalester_Legendary.jpg</v>
      </c>
      <c r="E5" t="str">
        <v>Ranger</v>
      </c>
      <c r="F5" t="str">
        <v>N/A</v>
      </c>
      <c r="G5" t="str">
        <v>N/A</v>
      </c>
      <c r="H5">
        <v>45</v>
      </c>
      <c r="I5">
        <v>0</v>
      </c>
      <c r="J5" t="str">
        <v>Legendary</v>
      </c>
      <c r="K5">
        <f>IF(H5&gt;0, H5/U5, "N/A")</f>
        <v>37.5</v>
      </c>
      <c r="L5" t="str">
        <v>N/A</v>
      </c>
      <c r="M5" t="str">
        <v>N/A</v>
      </c>
      <c r="N5">
        <v>45</v>
      </c>
      <c r="O5" t="str">
        <v>N/A</v>
      </c>
      <c r="P5" t="str">
        <v>N/A</v>
      </c>
      <c r="Q5" t="str">
        <v>N/A</v>
      </c>
      <c r="R5" t="str">
        <v>N/A</v>
      </c>
      <c r="S5" t="str">
        <v>N/A</v>
      </c>
      <c r="T5">
        <v>90</v>
      </c>
      <c r="U5">
        <v>1.2</v>
      </c>
      <c r="V5" t="str">
        <v>N/A</v>
      </c>
      <c r="X5" t="str">
        <f>IFERROR(__xludf.DUMMYFUNCTION("""COMPUTED_VALUE"""),"")</f>
        <v/>
      </c>
      <c r="Y5" t="str">
        <v>Not in a provided crate</v>
      </c>
    </row>
    <row r="6">
      <c r="A6" t="str">
        <v>Bartender</v>
      </c>
      <c r="B6" t="str">
        <v>N/A</v>
      </c>
      <c r="C6" t="str">
        <v>Bartender</v>
      </c>
      <c r="D6" t="str">
        <v>https://raw.githubusercontent.com/BlackDragon2435/UnitsBGWiki/main/assets/Bartender_Legendary.jpg</v>
      </c>
      <c r="E6" t="str">
        <v>Support</v>
      </c>
      <c r="F6" t="str">
        <v>N/A</v>
      </c>
      <c r="G6" t="str">
        <v>UpCooldown</v>
      </c>
      <c r="H6">
        <v>25</v>
      </c>
      <c r="I6">
        <v>0</v>
      </c>
      <c r="J6" t="str">
        <v>Legendary</v>
      </c>
      <c r="K6">
        <f>IF(H6&gt;0, H6/U6, "N/A")</f>
        <v>17.85714286</v>
      </c>
      <c r="L6" t="str">
        <v>N/A</v>
      </c>
      <c r="M6" t="str">
        <v>N/A</v>
      </c>
      <c r="N6">
        <v>35</v>
      </c>
      <c r="O6" t="str">
        <v>N/A</v>
      </c>
      <c r="P6" t="str">
        <v>N/A</v>
      </c>
      <c r="Q6" t="str">
        <v>UpCooldown</v>
      </c>
      <c r="R6" t="str">
        <v>N/A</v>
      </c>
      <c r="S6" t="str">
        <v>UpCooldown</v>
      </c>
      <c r="T6">
        <v>150</v>
      </c>
      <c r="U6">
        <v>1.4</v>
      </c>
      <c r="V6" t="str">
        <v>N/A</v>
      </c>
      <c r="X6" t="str">
        <f>IFERROR(__xludf.DUMMYFUNCTION("""COMPUTED_VALUE"""),"C")</f>
        <v>C</v>
      </c>
      <c r="Y6" t="str">
        <v>Not in a provided crate</v>
      </c>
    </row>
    <row r="7">
      <c r="A7" t="str">
        <v>LoveWizard</v>
      </c>
      <c r="B7" t="str">
        <v>N/A</v>
      </c>
      <c r="C7" t="str">
        <v>Love Wizard</v>
      </c>
      <c r="D7" t="str">
        <v>https://placehold.co/60x60/cccccc/333333?text=LW</v>
      </c>
      <c r="E7" t="str">
        <v>Ranger</v>
      </c>
      <c r="F7" t="str">
        <v>N/A</v>
      </c>
      <c r="G7" t="str">
        <v>Hearts</v>
      </c>
      <c r="H7">
        <v>30</v>
      </c>
      <c r="I7">
        <v>0</v>
      </c>
      <c r="J7" t="str">
        <v>Legendary</v>
      </c>
      <c r="K7">
        <f>IF(H7&gt;0, H7/U7, "N/A")</f>
        <v>9.230769231</v>
      </c>
      <c r="L7" t="str">
        <v>N/A</v>
      </c>
      <c r="M7" t="str">
        <v>N/A</v>
      </c>
      <c r="N7">
        <v>22</v>
      </c>
      <c r="O7" t="str">
        <v>N/A</v>
      </c>
      <c r="P7" t="str">
        <v>N/A</v>
      </c>
      <c r="Q7" t="str">
        <v>Hearts</v>
      </c>
      <c r="R7" t="str">
        <v>N/A</v>
      </c>
      <c r="S7" t="str">
        <v>Hearts</v>
      </c>
      <c r="T7">
        <v>110</v>
      </c>
      <c r="U7">
        <v>3.25</v>
      </c>
      <c r="V7" t="str">
        <v>N/A</v>
      </c>
      <c r="X7" t="str">
        <f>IFERROR(__xludf.DUMMYFUNCTION("""COMPUTED_VALUE"""),"")</f>
        <v/>
      </c>
      <c r="Y7" t="str">
        <v>The Wizard Tower Crate</v>
      </c>
    </row>
    <row r="8">
      <c r="A8" t="str">
        <v>Miner</v>
      </c>
      <c r="B8" t="str">
        <v>N/A</v>
      </c>
      <c r="C8" t="str">
        <v>Miner</v>
      </c>
      <c r="D8" t="str">
        <v>https://raw.githubusercontent.com/BlackDragon2435/UnitsBGWiki/main/assets/Miner_Uncommon.jpg</v>
      </c>
      <c r="E8" t="str">
        <v>Tank</v>
      </c>
      <c r="F8" t="str">
        <v>N/A</v>
      </c>
      <c r="G8" t="str">
        <v>N/A</v>
      </c>
      <c r="H8">
        <v>10</v>
      </c>
      <c r="I8">
        <v>0</v>
      </c>
      <c r="J8" t="str">
        <v>Uncommon</v>
      </c>
      <c r="K8">
        <f>IF(H8&gt;0, H8/U8, "N/A")</f>
        <v>6.666666667</v>
      </c>
      <c r="L8" t="str">
        <v>N/A</v>
      </c>
      <c r="M8" t="str">
        <v>N/A</v>
      </c>
      <c r="N8">
        <v>5</v>
      </c>
      <c r="O8" t="str">
        <v>N/A</v>
      </c>
      <c r="P8" t="str">
        <v>N/A</v>
      </c>
      <c r="Q8" t="str">
        <v>N/A</v>
      </c>
      <c r="R8" t="str">
        <v>N/A</v>
      </c>
      <c r="S8" t="str">
        <v>N/A</v>
      </c>
      <c r="T8">
        <v>200</v>
      </c>
      <c r="U8">
        <v>1.5</v>
      </c>
      <c r="V8" t="str">
        <v>N/A</v>
      </c>
      <c r="X8" t="str">
        <f>IFERROR(__xludf.DUMMYFUNCTION("""COMPUTED_VALUE"""),"")</f>
        <v/>
      </c>
      <c r="Y8" t="str">
        <v>Beginner box #1, Beginner box #2</v>
      </c>
    </row>
    <row r="9">
      <c r="A9" t="str">
        <v>TheIceQueen</v>
      </c>
      <c r="B9" t="str">
        <v>N/A</v>
      </c>
      <c r="C9" t="str">
        <v>The Ice Queen(BossUnit)</v>
      </c>
      <c r="D9" t="str">
        <v>https://placehold.co/60x60/cccccc/333333?text=TIQ</v>
      </c>
      <c r="E9" t="str">
        <v>Wizard</v>
      </c>
      <c r="F9" t="str">
        <v>N/A</v>
      </c>
      <c r="G9" t="str">
        <v>Frost</v>
      </c>
      <c r="H9">
        <v>60</v>
      </c>
      <c r="I9">
        <v>50</v>
      </c>
      <c r="J9" t="str">
        <v>Mythic</v>
      </c>
      <c r="K9">
        <f>IF(H9&gt;0, H9/U9, "N/A")</f>
        <v>34.28571429</v>
      </c>
      <c r="L9">
        <v>1.5</v>
      </c>
      <c r="M9" t="str">
        <v>N/A</v>
      </c>
      <c r="N9">
        <v>70</v>
      </c>
      <c r="O9" t="str">
        <v>N/A</v>
      </c>
      <c r="P9" t="str">
        <v>N/A</v>
      </c>
      <c r="Q9" t="str">
        <v>Slow</v>
      </c>
      <c r="R9" t="str">
        <v>N/A</v>
      </c>
      <c r="S9" t="str">
        <v>SlowBoss</v>
      </c>
      <c r="T9">
        <v>3100</v>
      </c>
      <c r="U9">
        <v>1.75</v>
      </c>
      <c r="V9" t="str">
        <v>N/A</v>
      </c>
      <c r="X9" t="str">
        <f>IFERROR(__xludf.DUMMYFUNCTION("""COMPUTED_VALUE"""),"F")</f>
        <v>F</v>
      </c>
      <c r="Y9" t="str">
        <v>Not in a provided crate</v>
      </c>
    </row>
    <row r="10">
      <c r="A10" t="str">
        <v>ElvenPathfinder</v>
      </c>
      <c r="B10" t="str">
        <v>N/A</v>
      </c>
      <c r="C10" t="str">
        <v>Elven Pathfinder</v>
      </c>
      <c r="D10" t="str">
        <v>https://placehold.co/60x60/cccccc/333333?text=EP</v>
      </c>
      <c r="E10" t="str">
        <v>Warrior</v>
      </c>
      <c r="F10" t="str">
        <v>N/A</v>
      </c>
      <c r="G10" t="str">
        <v>N/A</v>
      </c>
      <c r="H10">
        <v>50</v>
      </c>
      <c r="I10">
        <v>0</v>
      </c>
      <c r="J10" t="str">
        <v>Legendary</v>
      </c>
      <c r="K10">
        <f>IF(H10&gt;0, H10/U10, "N/A")</f>
        <v>33.33333333</v>
      </c>
      <c r="L10" t="str">
        <v>N/A</v>
      </c>
      <c r="M10" t="str">
        <v>N/A</v>
      </c>
      <c r="N10">
        <v>10</v>
      </c>
      <c r="O10" t="str">
        <v>N/A</v>
      </c>
      <c r="P10" t="str">
        <v>N/A</v>
      </c>
      <c r="Q10" t="str">
        <v>N/A</v>
      </c>
      <c r="R10" t="str">
        <v>N/A</v>
      </c>
      <c r="S10" t="str">
        <v>N/A</v>
      </c>
      <c r="T10">
        <v>500</v>
      </c>
      <c r="U10">
        <v>1.5</v>
      </c>
      <c r="V10" t="str">
        <v>N/A</v>
      </c>
      <c r="X10" t="str">
        <f>IFERROR(__xludf.DUMMYFUNCTION("""COMPUTED_VALUE"""),"")</f>
        <v/>
      </c>
      <c r="Y10" t="str">
        <v>The Elven Forest Crate</v>
      </c>
    </row>
    <row r="11">
      <c r="A11" t="str">
        <v>GoblinAssassin</v>
      </c>
      <c r="B11">
        <v>0.15</v>
      </c>
      <c r="C11" t="str">
        <v>Goblin Assassin</v>
      </c>
      <c r="D11" t="str">
        <v>https://raw.githubusercontent.com/BlackDragon2435/UnitsBGWiki/main/assets/GoblinAssassin_Rare.jpg</v>
      </c>
      <c r="E11" t="str">
        <v>Assassin</v>
      </c>
      <c r="F11" t="str">
        <v>N/A</v>
      </c>
      <c r="G11" t="str">
        <v>Poison</v>
      </c>
      <c r="H11">
        <v>15</v>
      </c>
      <c r="I11">
        <v>0</v>
      </c>
      <c r="J11" t="str">
        <v>Rare</v>
      </c>
      <c r="K11">
        <f>IF(H11&gt;0, H11/U11, "N/A")</f>
        <v>20</v>
      </c>
      <c r="L11" t="str">
        <v>N/A</v>
      </c>
      <c r="M11">
        <v>0.1</v>
      </c>
      <c r="N11">
        <v>6</v>
      </c>
      <c r="O11">
        <v>10</v>
      </c>
      <c r="P11" t="str">
        <v>N/A</v>
      </c>
      <c r="Q11" t="str">
        <v>Damage</v>
      </c>
      <c r="R11" t="str">
        <v>N/A</v>
      </c>
      <c r="S11" t="str">
        <v>Poison</v>
      </c>
      <c r="T11">
        <v>60</v>
      </c>
      <c r="U11">
        <v>0.75</v>
      </c>
      <c r="V11">
        <v>2</v>
      </c>
      <c r="X11" t="str">
        <f>IFERROR(__xludf.DUMMYFUNCTION("""COMPUTED_VALUE"""),"")</f>
        <v/>
      </c>
      <c r="Y11" t="str">
        <v>The Goblins Cave Crate</v>
      </c>
    </row>
    <row r="12">
      <c r="A12" t="str">
        <v>Succubus</v>
      </c>
      <c r="B12" t="str">
        <v>N/A</v>
      </c>
      <c r="C12" t="str">
        <v>Succubus</v>
      </c>
      <c r="D12" t="str">
        <v>https://raw.githubusercontent.com/BlackDragon2435/UnitsBGWiki/main/assets/Succubus_Mythic.jpg</v>
      </c>
      <c r="E12" t="str">
        <v>Ranger</v>
      </c>
      <c r="F12" t="str">
        <v>N/A</v>
      </c>
      <c r="G12" t="str">
        <v>Hearts</v>
      </c>
      <c r="H12">
        <v>41</v>
      </c>
      <c r="I12">
        <v>0</v>
      </c>
      <c r="J12" t="str">
        <v>Mythic</v>
      </c>
      <c r="K12">
        <f>IF(H12&gt;0, H12/U12, "N/A")</f>
        <v>20.5</v>
      </c>
      <c r="L12" t="str">
        <v>N/A</v>
      </c>
      <c r="M12" t="str">
        <v>N/A</v>
      </c>
      <c r="N12">
        <v>45</v>
      </c>
      <c r="O12" t="str">
        <v>N/A</v>
      </c>
      <c r="P12" t="str">
        <v>N/A</v>
      </c>
      <c r="Q12" t="str">
        <v>Hearts</v>
      </c>
      <c r="R12" t="str">
        <v>N/A</v>
      </c>
      <c r="S12" t="str">
        <v>Hearts</v>
      </c>
      <c r="T12">
        <v>120</v>
      </c>
      <c r="U12">
        <v>2</v>
      </c>
      <c r="V12" t="str">
        <v>N/A</v>
      </c>
      <c r="X12" t="str">
        <f>IFERROR(__xludf.DUMMYFUNCTION("""COMPUTED_VALUE"""),"D")</f>
        <v>D</v>
      </c>
      <c r="Y12" t="str">
        <v>Not in a provided crate</v>
      </c>
    </row>
    <row r="13">
      <c r="A13" t="str">
        <v>Witch</v>
      </c>
      <c r="B13" t="str">
        <v>N/A</v>
      </c>
      <c r="C13" t="str">
        <v>Witch</v>
      </c>
      <c r="D13" t="str">
        <v>https://raw.githubusercontent.com/BlackDragon2435/UnitsBGWiki/main/assets/Witch_Mythic.jpg</v>
      </c>
      <c r="E13" t="str">
        <v>Healer</v>
      </c>
      <c r="F13" t="str">
        <v>N/A</v>
      </c>
      <c r="G13" t="str">
        <v>Healing</v>
      </c>
      <c r="H13">
        <v>35</v>
      </c>
      <c r="I13">
        <v>0</v>
      </c>
      <c r="J13" t="str">
        <v>Mythic</v>
      </c>
      <c r="K13">
        <f>IF(H13&gt;0, H13/U13, "N/A")</f>
        <v>25</v>
      </c>
      <c r="L13" t="str">
        <v>N/A</v>
      </c>
      <c r="M13" t="str">
        <v>N/A</v>
      </c>
      <c r="N13">
        <v>35</v>
      </c>
      <c r="O13" t="str">
        <v>N/A</v>
      </c>
      <c r="P13" t="str">
        <v>N/A</v>
      </c>
      <c r="Q13" t="str">
        <v>N/A</v>
      </c>
      <c r="R13" t="str">
        <v>N/A</v>
      </c>
      <c r="S13" t="str">
        <v>N/A</v>
      </c>
      <c r="T13">
        <v>130</v>
      </c>
      <c r="U13">
        <v>1.4</v>
      </c>
      <c r="V13" t="str">
        <v>N/A</v>
      </c>
      <c r="X13" t="str">
        <f>IFERROR(__xludf.DUMMYFUNCTION("""COMPUTED_VALUE"""),"")</f>
        <v/>
      </c>
      <c r="Y13" t="str">
        <v>Not in a provided crate</v>
      </c>
    </row>
    <row r="14">
      <c r="A14" t="str">
        <v>Wizard</v>
      </c>
      <c r="B14" t="str">
        <v>N/A</v>
      </c>
      <c r="C14" t="str">
        <v>Wizard</v>
      </c>
      <c r="D14" t="str">
        <v>https://raw.githubusercontent.com/BlackDragon2435/UnitsBGWiki/main/assets/Wizard_Rare.jpg</v>
      </c>
      <c r="E14" t="str">
        <v>Wizard</v>
      </c>
      <c r="F14" t="str">
        <v>N/A</v>
      </c>
      <c r="G14" t="str">
        <v>N/A</v>
      </c>
      <c r="H14">
        <v>15</v>
      </c>
      <c r="I14">
        <v>0</v>
      </c>
      <c r="J14" t="str">
        <v>Rare</v>
      </c>
      <c r="K14">
        <f>IF(H14&gt;0, H14/U14, "N/A")</f>
        <v>12.5</v>
      </c>
      <c r="L14" t="str">
        <v>N/A</v>
      </c>
      <c r="M14" t="str">
        <v>N/A</v>
      </c>
      <c r="N14">
        <v>30</v>
      </c>
      <c r="O14" t="str">
        <v>N/A</v>
      </c>
      <c r="P14" t="str">
        <v>N/A</v>
      </c>
      <c r="Q14" t="str">
        <v>N/A</v>
      </c>
      <c r="R14" t="str">
        <v>N/A</v>
      </c>
      <c r="S14" t="str">
        <v>N/A</v>
      </c>
      <c r="T14">
        <v>80</v>
      </c>
      <c r="U14">
        <v>1.2</v>
      </c>
      <c r="V14" t="str">
        <v>N/A</v>
      </c>
      <c r="X14" t="str">
        <f>IFERROR(__xludf.DUMMYFUNCTION("""COMPUTED_VALUE"""),"")</f>
        <v/>
      </c>
      <c r="Y14" t="str">
        <v>Beginner box #1, Beginner box #2, Epic box</v>
      </c>
    </row>
    <row r="15">
      <c r="A15" t="str">
        <v>Gryla</v>
      </c>
      <c r="B15" t="str">
        <v>N/A</v>
      </c>
      <c r="C15" t="str">
        <v>Gryla</v>
      </c>
      <c r="D15" t="str">
        <v>https://raw.githubusercontent.com/BlackDragon2435/UnitsBGWiki/main/assets/Gryla_Mythic.jpg</v>
      </c>
      <c r="E15" t="str">
        <v>Summoner</v>
      </c>
      <c r="F15" t="str">
        <v>N/A</v>
      </c>
      <c r="G15" t="str">
        <v>N/A</v>
      </c>
      <c r="H15">
        <v>0</v>
      </c>
      <c r="I15">
        <v>0</v>
      </c>
      <c r="J15" t="str">
        <v>Mythic</v>
      </c>
      <c r="K15" t="str">
        <f>IF(H15&gt;0, H15/U15, "N/A")</f>
        <v>N/A</v>
      </c>
      <c r="L15" t="str">
        <v>N/A</v>
      </c>
      <c r="M15" t="str">
        <v>N/A</v>
      </c>
      <c r="N15">
        <v>10</v>
      </c>
      <c r="O15" t="str">
        <v>N/A</v>
      </c>
      <c r="P15" t="str">
        <v>N/A</v>
      </c>
      <c r="Q15" t="str">
        <v>N/A</v>
      </c>
      <c r="R15" t="str">
        <v>N/A</v>
      </c>
      <c r="S15" t="str">
        <v>N/A</v>
      </c>
      <c r="T15">
        <v>250</v>
      </c>
      <c r="U15">
        <v>3</v>
      </c>
      <c r="V15" t="str">
        <v>N/A</v>
      </c>
      <c r="X15" t="str">
        <f>IFERROR(__xludf.DUMMYFUNCTION("""COMPUTED_VALUE"""),"C")</f>
        <v>C</v>
      </c>
      <c r="Y15" t="str">
        <v>Not in a provided crate</v>
      </c>
    </row>
    <row r="16">
      <c r="A16" t="str">
        <v>PirateAssassinator</v>
      </c>
      <c r="B16">
        <v>0.15</v>
      </c>
      <c r="C16" t="str">
        <v>Pirate Assassinator</v>
      </c>
      <c r="D16" t="str">
        <v>https://raw.githubusercontent.com/BlackDragon2435/UnitsBGWiki/main/assets/PirateAssassinator_Epic.jpg</v>
      </c>
      <c r="E16" t="str">
        <v>Assassin</v>
      </c>
      <c r="F16" t="str">
        <v>N/A</v>
      </c>
      <c r="G16" t="str">
        <v>N/A</v>
      </c>
      <c r="H16">
        <v>60</v>
      </c>
      <c r="I16">
        <v>0</v>
      </c>
      <c r="J16" t="str">
        <v>Epic</v>
      </c>
      <c r="K16">
        <f>IF(H16&gt;0, H16/U16, "N/A")</f>
        <v>15</v>
      </c>
      <c r="L16" t="str">
        <v>N/A</v>
      </c>
      <c r="M16">
        <v>0.1</v>
      </c>
      <c r="N16">
        <v>8</v>
      </c>
      <c r="O16" t="str">
        <v>N/A</v>
      </c>
      <c r="P16" t="str">
        <v>N/A</v>
      </c>
      <c r="Q16" t="str">
        <v>N/A</v>
      </c>
      <c r="R16" t="str">
        <v>N/A</v>
      </c>
      <c r="S16" t="str">
        <v>N/A</v>
      </c>
      <c r="T16">
        <v>40</v>
      </c>
      <c r="U16">
        <v>4</v>
      </c>
      <c r="V16" t="str">
        <v>N/A</v>
      </c>
      <c r="X16" t="str">
        <f>IFERROR(__xludf.DUMMYFUNCTION("""COMPUTED_VALUE"""),"")</f>
        <v/>
      </c>
      <c r="Y16" t="str">
        <v>The Pirate Bay Crate</v>
      </c>
    </row>
    <row r="17">
      <c r="A17" t="str">
        <v>Yeti</v>
      </c>
      <c r="B17">
        <v>0.02</v>
      </c>
      <c r="C17" t="str">
        <v>Yeti</v>
      </c>
      <c r="D17" t="str">
        <v>https://raw.githubusercontent.com/BlackDragon2435/UnitsBGWiki/main/assets/Yeti_Mythic.jpg</v>
      </c>
      <c r="E17" t="str">
        <v>Warrior</v>
      </c>
      <c r="F17" t="str">
        <v>N/A</v>
      </c>
      <c r="G17" t="str">
        <v>N/A</v>
      </c>
      <c r="H17">
        <v>85</v>
      </c>
      <c r="I17">
        <v>10</v>
      </c>
      <c r="J17" t="str">
        <v>Mythic</v>
      </c>
      <c r="K17">
        <f>IF(H17&gt;0, H17/U17, "N/A")</f>
        <v>50</v>
      </c>
      <c r="L17" t="str">
        <v>N/A</v>
      </c>
      <c r="M17">
        <v>0.04</v>
      </c>
      <c r="N17">
        <v>10</v>
      </c>
      <c r="O17" t="str">
        <v>N/A</v>
      </c>
      <c r="P17">
        <v>1.5</v>
      </c>
      <c r="Q17" t="str">
        <v>N/A</v>
      </c>
      <c r="R17" t="str">
        <v>N/A</v>
      </c>
      <c r="S17" t="str">
        <v>N/A</v>
      </c>
      <c r="T17">
        <v>500</v>
      </c>
      <c r="U17">
        <v>1.7</v>
      </c>
      <c r="V17" t="str">
        <v>N/A</v>
      </c>
      <c r="X17" t="str">
        <f>IFERROR(__xludf.DUMMYFUNCTION("""COMPUTED_VALUE"""),"")</f>
        <v/>
      </c>
      <c r="Y17" t="str">
        <v>Not in a provided crate</v>
      </c>
    </row>
    <row r="18">
      <c r="A18" t="str">
        <v>Pyromancer</v>
      </c>
      <c r="B18" t="str">
        <v>N/A</v>
      </c>
      <c r="C18" t="str">
        <v>Pyromancer</v>
      </c>
      <c r="D18" t="str">
        <v>https://raw.githubusercontent.com/BlackDragon2435/UnitsBGWiki/main/assets/Pyromancer_Rare.jpg</v>
      </c>
      <c r="E18" t="str">
        <v>Wizard</v>
      </c>
      <c r="F18" t="str">
        <v>N/A</v>
      </c>
      <c r="G18" t="str">
        <v>Fire</v>
      </c>
      <c r="H18">
        <v>20</v>
      </c>
      <c r="I18">
        <v>0</v>
      </c>
      <c r="J18" t="str">
        <v>Rare</v>
      </c>
      <c r="K18">
        <f>IF(H18&gt;0, H18/U18, "N/A")</f>
        <v>6.666666667</v>
      </c>
      <c r="L18" t="str">
        <v>N/A</v>
      </c>
      <c r="M18" t="str">
        <v>N/A</v>
      </c>
      <c r="N18">
        <v>30</v>
      </c>
      <c r="O18" t="str">
        <v>N/A</v>
      </c>
      <c r="P18" t="str">
        <v>N/A</v>
      </c>
      <c r="Q18" t="str">
        <v>Damage</v>
      </c>
      <c r="R18" t="str">
        <v>N/A</v>
      </c>
      <c r="S18" t="str">
        <v>Burn</v>
      </c>
      <c r="T18">
        <v>70</v>
      </c>
      <c r="U18">
        <v>3</v>
      </c>
      <c r="V18" t="str">
        <v>N/A</v>
      </c>
      <c r="X18" t="str">
        <f>IFERROR(__xludf.DUMMYFUNCTION("""COMPUTED_VALUE"""),"")</f>
        <v/>
      </c>
      <c r="Y18" t="str">
        <v>Epic box, Beginner box #2</v>
      </c>
    </row>
    <row r="19">
      <c r="A19" t="str">
        <v>Demon</v>
      </c>
      <c r="B19" t="str">
        <v>N/A</v>
      </c>
      <c r="C19" t="str">
        <v>Demon</v>
      </c>
      <c r="D19" t="str">
        <v>https://placehold.co/60x60/cccccc/333333?text=D</v>
      </c>
      <c r="E19" t="str">
        <v>Warrior</v>
      </c>
      <c r="F19" t="str">
        <v>N/A</v>
      </c>
      <c r="G19" t="str">
        <v>Lifesteal</v>
      </c>
      <c r="H19">
        <v>110</v>
      </c>
      <c r="I19">
        <v>0</v>
      </c>
      <c r="J19" t="str">
        <v>Demonic</v>
      </c>
      <c r="K19">
        <f>IF(H19&gt;0, H19/U19, "N/A")</f>
        <v>55</v>
      </c>
      <c r="L19" t="str">
        <v>N/A</v>
      </c>
      <c r="M19" t="str">
        <v>N/A</v>
      </c>
      <c r="N19">
        <v>10</v>
      </c>
      <c r="O19" t="str">
        <v>N/A</v>
      </c>
      <c r="P19" t="str">
        <v>N/A</v>
      </c>
      <c r="Q19" t="str">
        <v>Lifesteal</v>
      </c>
      <c r="R19">
        <v>30</v>
      </c>
      <c r="S19" t="str">
        <v>Lifesteal</v>
      </c>
      <c r="T19">
        <v>800</v>
      </c>
      <c r="U19">
        <v>2</v>
      </c>
      <c r="V19" t="str">
        <v>N/A</v>
      </c>
      <c r="X19" t="str">
        <f>IFERROR(__xludf.DUMMYFUNCTION("""COMPUTED_VALUE"""),"D")</f>
        <v>D</v>
      </c>
      <c r="Y19" t="str">
        <v>Crystal crate #3, Crystal crate #2, Crystal crate #1, Crystal crate #4</v>
      </c>
    </row>
    <row r="20">
      <c r="A20" t="str">
        <v>SummonerWizard</v>
      </c>
      <c r="B20" t="str">
        <v>N/A</v>
      </c>
      <c r="C20" t="str">
        <v>Summoner Wizard</v>
      </c>
      <c r="D20" t="str">
        <v>https://placehold.co/60x60/cccccc/333333?text=SW</v>
      </c>
      <c r="E20" t="str">
        <v>Summoner</v>
      </c>
      <c r="F20" t="str">
        <v>N/A</v>
      </c>
      <c r="G20" t="str">
        <v>N/A</v>
      </c>
      <c r="H20">
        <v>0</v>
      </c>
      <c r="I20">
        <v>0</v>
      </c>
      <c r="J20" t="str">
        <v>Legendary</v>
      </c>
      <c r="K20" t="str">
        <f>IF(H20&gt;0, H20/U20, "N/A")</f>
        <v>N/A</v>
      </c>
      <c r="L20" t="str">
        <v>N/A</v>
      </c>
      <c r="M20" t="str">
        <v>N/A</v>
      </c>
      <c r="N20">
        <v>10</v>
      </c>
      <c r="O20" t="str">
        <v>N/A</v>
      </c>
      <c r="P20" t="str">
        <v>N/A</v>
      </c>
      <c r="Q20" t="str">
        <v>N/A</v>
      </c>
      <c r="R20" t="str">
        <v>N/A</v>
      </c>
      <c r="S20" t="str">
        <v>N/A</v>
      </c>
      <c r="T20">
        <v>110</v>
      </c>
      <c r="U20">
        <v>4</v>
      </c>
      <c r="V20" t="str">
        <v>N/A</v>
      </c>
      <c r="X20" t="str">
        <f>IFERROR(__xludf.DUMMYFUNCTION("""COMPUTED_VALUE"""),"")</f>
        <v/>
      </c>
      <c r="Y20" t="str">
        <v>The Wizard Tower Crate</v>
      </c>
    </row>
    <row r="21">
      <c r="A21" t="str">
        <v>PirateQuartermaster</v>
      </c>
      <c r="B21" t="str">
        <v>N/A</v>
      </c>
      <c r="C21" t="str">
        <v>Pirate Quartermaster</v>
      </c>
      <c r="D21" t="str">
        <v>https://placehold.co/60x60/cccccc/333333?text=PQ</v>
      </c>
      <c r="E21" t="str">
        <v>Support</v>
      </c>
      <c r="F21" t="str">
        <v>N/A</v>
      </c>
      <c r="G21" t="str">
        <v>Bard</v>
      </c>
      <c r="H21">
        <v>0</v>
      </c>
      <c r="I21">
        <v>0</v>
      </c>
      <c r="J21" t="str">
        <v>Legendary</v>
      </c>
      <c r="K21" t="str">
        <f>IF(H21&gt;0, H21/U21, "N/A")</f>
        <v>N/A</v>
      </c>
      <c r="L21" t="str">
        <v>N/A</v>
      </c>
      <c r="M21" t="str">
        <v>N/A</v>
      </c>
      <c r="N21">
        <v>70</v>
      </c>
      <c r="O21" t="str">
        <v>N/A</v>
      </c>
      <c r="P21" t="str">
        <v>N/A</v>
      </c>
      <c r="Q21" t="str">
        <v>Bard</v>
      </c>
      <c r="R21" t="str">
        <v>N/A</v>
      </c>
      <c r="S21" t="str">
        <v>Bard</v>
      </c>
      <c r="T21">
        <v>70</v>
      </c>
      <c r="U21">
        <v>6</v>
      </c>
      <c r="V21" t="str">
        <v>N/A</v>
      </c>
      <c r="X21" t="str">
        <f>IFERROR(__xludf.DUMMYFUNCTION("""COMPUTED_VALUE"""),"F")</f>
        <v>F</v>
      </c>
      <c r="Y21" t="str">
        <v>The Pirate Bay Crate</v>
      </c>
    </row>
    <row r="22">
      <c r="A22" t="str">
        <v>VoidWizard</v>
      </c>
      <c r="B22" t="str">
        <v>N/A</v>
      </c>
      <c r="C22" t="str">
        <v>Void Wizard</v>
      </c>
      <c r="D22" t="str">
        <v>https://placehold.co/60x60/cccccc/333333?text=VW</v>
      </c>
      <c r="E22" t="str">
        <v>Wizard</v>
      </c>
      <c r="F22" t="str">
        <v>N/A</v>
      </c>
      <c r="G22" t="str">
        <v>N/A</v>
      </c>
      <c r="H22">
        <v>15</v>
      </c>
      <c r="I22">
        <v>0</v>
      </c>
      <c r="J22" t="str">
        <v>Legendary</v>
      </c>
      <c r="K22">
        <f>IF(H22&gt;0, H22/U22, "N/A")</f>
        <v>12</v>
      </c>
      <c r="L22" t="str">
        <v>N/A</v>
      </c>
      <c r="M22" t="str">
        <v>N/A</v>
      </c>
      <c r="N22">
        <v>30</v>
      </c>
      <c r="O22" t="str">
        <v>N/A</v>
      </c>
      <c r="P22" t="str">
        <v>N/A</v>
      </c>
      <c r="Q22" t="str">
        <v>N/A</v>
      </c>
      <c r="R22" t="str">
        <v>N/A</v>
      </c>
      <c r="S22" t="str">
        <v>N/A</v>
      </c>
      <c r="T22">
        <v>110</v>
      </c>
      <c r="U22">
        <v>1.25</v>
      </c>
      <c r="V22" t="str">
        <v>N/A</v>
      </c>
      <c r="X22" t="str">
        <f>IFERROR(__xludf.DUMMYFUNCTION("""COMPUTED_VALUE"""),"")</f>
        <v/>
      </c>
      <c r="Y22" t="str">
        <v>The Wizard Tower Crate</v>
      </c>
    </row>
    <row r="23">
      <c r="A23" t="str">
        <v>ElvenWarrior</v>
      </c>
      <c r="B23" t="str">
        <v>N/A</v>
      </c>
      <c r="C23" t="str">
        <v>Elven Warrior</v>
      </c>
      <c r="D23" t="str">
        <v>https://raw.githubusercontent.com/BlackDragon2435/UnitsBGWiki/main/assets/ElvenWarrior_Rare.jpg</v>
      </c>
      <c r="E23" t="str">
        <v>Warrior</v>
      </c>
      <c r="F23" t="str">
        <v>N/A</v>
      </c>
      <c r="G23" t="str">
        <v>N/A</v>
      </c>
      <c r="H23">
        <v>20</v>
      </c>
      <c r="I23">
        <v>0</v>
      </c>
      <c r="J23" t="str">
        <v>Rare</v>
      </c>
      <c r="K23">
        <f>IF(H23&gt;0, H23/U23, "N/A")</f>
        <v>18.18181818</v>
      </c>
      <c r="L23" t="str">
        <v>N/A</v>
      </c>
      <c r="M23" t="str">
        <v>N/A</v>
      </c>
      <c r="N23">
        <v>6</v>
      </c>
      <c r="O23" t="str">
        <v>N/A</v>
      </c>
      <c r="P23" t="str">
        <v>N/A</v>
      </c>
      <c r="Q23" t="str">
        <v>N/A</v>
      </c>
      <c r="R23" t="str">
        <v>N/A</v>
      </c>
      <c r="S23" t="str">
        <v>N/A</v>
      </c>
      <c r="T23">
        <v>190</v>
      </c>
      <c r="U23">
        <v>1.1</v>
      </c>
      <c r="V23" t="str">
        <v>N/A</v>
      </c>
      <c r="X23" t="str">
        <f>IFERROR(__xludf.DUMMYFUNCTION("""COMPUTED_VALUE"""),"")</f>
        <v/>
      </c>
      <c r="Y23" t="str">
        <v>The Elven Forest Crate</v>
      </c>
    </row>
    <row r="24">
      <c r="A24" t="str">
        <v>Triton</v>
      </c>
      <c r="B24" t="str">
        <v>N/A</v>
      </c>
      <c r="C24" t="str">
        <v>Triton(Personal)</v>
      </c>
      <c r="D24" t="str">
        <v>https://placehold.co/60x60/cccccc/333333?text=T(P)</v>
      </c>
      <c r="E24" t="str">
        <v>Support</v>
      </c>
      <c r="F24" t="str">
        <v>N/A</v>
      </c>
      <c r="G24" t="str">
        <v>Bard</v>
      </c>
      <c r="H24">
        <v>37</v>
      </c>
      <c r="I24">
        <v>10</v>
      </c>
      <c r="J24" t="str">
        <v>Demonic</v>
      </c>
      <c r="K24">
        <f>IF(H24&gt;0, H24/U24, "N/A")</f>
        <v>6.379310345</v>
      </c>
      <c r="L24" t="str">
        <v>N/A</v>
      </c>
      <c r="M24">
        <v>0.04</v>
      </c>
      <c r="N24">
        <v>70</v>
      </c>
      <c r="O24" t="str">
        <v>N/A</v>
      </c>
      <c r="P24" t="str">
        <v>N/A</v>
      </c>
      <c r="Q24" t="str">
        <v>Bard</v>
      </c>
      <c r="R24" t="str">
        <v>N/A</v>
      </c>
      <c r="S24" t="str">
        <v>Bard</v>
      </c>
      <c r="T24">
        <v>200</v>
      </c>
      <c r="U24">
        <v>5.8</v>
      </c>
      <c r="V24" t="str">
        <v>N/A</v>
      </c>
      <c r="X24" t="str">
        <f>IFERROR(__xludf.DUMMYFUNCTION("""COMPUTED_VALUE"""),"S")</f>
        <v>S</v>
      </c>
      <c r="Y24" t="str">
        <v>Not in a provided crate</v>
      </c>
    </row>
    <row r="25">
      <c r="A25" t="str">
        <v>Roman</v>
      </c>
      <c r="B25" t="str">
        <v>N/A</v>
      </c>
      <c r="C25" t="str">
        <v>Roman</v>
      </c>
      <c r="D25" t="str">
        <v>https://placehold.co/60x60/cccccc/333333?text=R</v>
      </c>
      <c r="E25" t="str">
        <v>Tank</v>
      </c>
      <c r="F25" t="str">
        <v>N/A</v>
      </c>
      <c r="G25" t="str">
        <v>N/A</v>
      </c>
      <c r="H25">
        <v>15</v>
      </c>
      <c r="I25">
        <v>0</v>
      </c>
      <c r="J25" t="str">
        <v>Rare</v>
      </c>
      <c r="K25">
        <f>IF(H25&gt;0, H25/U25, "N/A")</f>
        <v>10</v>
      </c>
      <c r="L25" t="str">
        <v>N/A</v>
      </c>
      <c r="M25" t="str">
        <v>N/A</v>
      </c>
      <c r="N25">
        <v>6</v>
      </c>
      <c r="O25" t="str">
        <v>N/A</v>
      </c>
      <c r="P25" t="str">
        <v>N/A</v>
      </c>
      <c r="Q25" t="str">
        <v>N/A</v>
      </c>
      <c r="R25" t="str">
        <v>N/A</v>
      </c>
      <c r="S25" t="str">
        <v>N/A</v>
      </c>
      <c r="T25">
        <v>450</v>
      </c>
      <c r="U25">
        <v>1.5</v>
      </c>
      <c r="V25" t="str">
        <v>N/A</v>
      </c>
      <c r="X25" t="str">
        <f>IFERROR(__xludf.DUMMYFUNCTION("""COMPUTED_VALUE"""),"")</f>
        <v/>
      </c>
      <c r="Y25" t="str">
        <v>Legendary box, Crystal crate #3, Crystal crate #2</v>
      </c>
    </row>
    <row r="26">
      <c r="A26" t="str">
        <v>ElvenDruid</v>
      </c>
      <c r="B26" t="str">
        <v>N/A</v>
      </c>
      <c r="C26" t="str">
        <v>Elven Druid</v>
      </c>
      <c r="D26" t="str">
        <v>https://raw.githubusercontent.com/BlackDragon2435/UnitsBGWiki/main/assets/ElvenDruid_Legendary.jpg</v>
      </c>
      <c r="E26" t="str">
        <v>Healer</v>
      </c>
      <c r="F26" t="str">
        <v>N/A</v>
      </c>
      <c r="G26" t="str">
        <v>Healing</v>
      </c>
      <c r="H26">
        <v>14</v>
      </c>
      <c r="I26">
        <v>0</v>
      </c>
      <c r="J26" t="str">
        <v>Legendary</v>
      </c>
      <c r="K26">
        <f>IF(H26&gt;0, H26/U26, "N/A")</f>
        <v>9.333333333</v>
      </c>
      <c r="L26" t="str">
        <v>N/A</v>
      </c>
      <c r="M26" t="str">
        <v>N/A</v>
      </c>
      <c r="N26">
        <v>25</v>
      </c>
      <c r="O26" t="str">
        <v>N/A</v>
      </c>
      <c r="P26" t="str">
        <v>N/A</v>
      </c>
      <c r="Q26" t="str">
        <v>N/A</v>
      </c>
      <c r="R26" t="str">
        <v>N/A</v>
      </c>
      <c r="S26" t="str">
        <v>N/A</v>
      </c>
      <c r="T26">
        <v>90</v>
      </c>
      <c r="U26">
        <v>1.5</v>
      </c>
      <c r="V26" t="str">
        <v>N/A</v>
      </c>
      <c r="X26" t="str">
        <f>IFERROR(__xludf.DUMMYFUNCTION("""COMPUTED_VALUE"""),"")</f>
        <v/>
      </c>
      <c r="Y26" t="str">
        <v>The Elven Forest Crate</v>
      </c>
    </row>
    <row r="27">
      <c r="A27" t="str">
        <v>TheAdmiral</v>
      </c>
      <c r="B27" t="str">
        <v>N/A</v>
      </c>
      <c r="C27" t="str">
        <v>The Admiral of Death(BossUnit)</v>
      </c>
      <c r="D27" t="str">
        <v>https://raw.githubusercontent.com/BlackDragon2435/UnitsBGWiki/main/assets/TheAdmiral_Mythic.jpg</v>
      </c>
      <c r="E27" t="str">
        <v>Ranger</v>
      </c>
      <c r="F27" t="str">
        <v>N/A</v>
      </c>
      <c r="G27" t="str">
        <v>Fire</v>
      </c>
      <c r="H27">
        <v>140</v>
      </c>
      <c r="I27">
        <v>50</v>
      </c>
      <c r="J27" t="str">
        <v>Mythic</v>
      </c>
      <c r="K27">
        <f>IF(H27&gt;0, H27/U27, "N/A")</f>
        <v>46.66666667</v>
      </c>
      <c r="L27">
        <v>1.5</v>
      </c>
      <c r="M27" t="str">
        <v>N/A</v>
      </c>
      <c r="N27">
        <v>60</v>
      </c>
      <c r="O27" t="str">
        <v>N/A</v>
      </c>
      <c r="P27" t="str">
        <v>N/A</v>
      </c>
      <c r="Q27" t="str">
        <v>Damage</v>
      </c>
      <c r="R27" t="str">
        <v>N/A</v>
      </c>
      <c r="S27" t="str">
        <v>Burn</v>
      </c>
      <c r="T27">
        <v>1100</v>
      </c>
      <c r="U27">
        <v>3</v>
      </c>
      <c r="V27" t="str">
        <v>N/A</v>
      </c>
      <c r="X27" t="str">
        <f>IFERROR(__xludf.DUMMYFUNCTION("""COMPUTED_VALUE"""),"F")</f>
        <v>F</v>
      </c>
      <c r="Y27" t="str">
        <v>Not in a provided crate</v>
      </c>
    </row>
    <row r="28">
      <c r="A28" t="str">
        <v>Oceanid</v>
      </c>
      <c r="B28">
        <v>0.08</v>
      </c>
      <c r="C28" t="str">
        <v>Oceanid</v>
      </c>
      <c r="D28" t="str">
        <v>https://raw.githubusercontent.com/BlackDragon2435/UnitsBGWiki/main/assets/Oceanid_Mythic.jpg</v>
      </c>
      <c r="E28" t="str">
        <v>Ranger</v>
      </c>
      <c r="F28" t="str">
        <v>N/A</v>
      </c>
      <c r="G28" t="str">
        <v>N/A</v>
      </c>
      <c r="H28">
        <v>110</v>
      </c>
      <c r="I28">
        <v>0</v>
      </c>
      <c r="J28" t="str">
        <v>Mythic</v>
      </c>
      <c r="K28">
        <f>IF(H28&gt;0, H28/U28, "N/A")</f>
        <v>28.94736842</v>
      </c>
      <c r="L28" t="str">
        <v>N/A</v>
      </c>
      <c r="M28">
        <v>0.05</v>
      </c>
      <c r="N28">
        <v>55</v>
      </c>
      <c r="O28" t="str">
        <v>N/A</v>
      </c>
      <c r="P28">
        <v>15</v>
      </c>
      <c r="Q28" t="str">
        <v>N/A</v>
      </c>
      <c r="R28" t="str">
        <v>N/A</v>
      </c>
      <c r="S28" t="str">
        <v>N/A</v>
      </c>
      <c r="T28">
        <v>210</v>
      </c>
      <c r="U28">
        <v>3.8</v>
      </c>
      <c r="V28" t="str">
        <v>N/A</v>
      </c>
      <c r="X28" t="str">
        <f>IFERROR(__xludf.DUMMYFUNCTION("""COMPUTED_VALUE"""),"B")</f>
        <v>B</v>
      </c>
      <c r="Y28" t="str">
        <v>Not in a provided crate</v>
      </c>
    </row>
    <row r="29">
      <c r="A29" t="str">
        <v>Volt</v>
      </c>
      <c r="B29" t="str">
        <v>N/A</v>
      </c>
      <c r="C29" t="str">
        <v>Volt</v>
      </c>
      <c r="D29" t="str">
        <v>https://placehold.co/60x60/cccccc/333333?text=V</v>
      </c>
      <c r="E29" t="str">
        <v>Wizard</v>
      </c>
      <c r="F29" t="str">
        <v>N/A</v>
      </c>
      <c r="G29" t="str">
        <v>N/A</v>
      </c>
      <c r="H29">
        <v>20</v>
      </c>
      <c r="I29">
        <v>0</v>
      </c>
      <c r="J29" t="str">
        <v>Mythic</v>
      </c>
      <c r="K29">
        <f>IF(H29&gt;0, H29/U29, "N/A")</f>
        <v>16.66666667</v>
      </c>
      <c r="L29" t="str">
        <v>N/A</v>
      </c>
      <c r="M29" t="str">
        <v>N/A</v>
      </c>
      <c r="N29">
        <v>30</v>
      </c>
      <c r="O29" t="str">
        <v>N/A</v>
      </c>
      <c r="P29" t="str">
        <v>N/A</v>
      </c>
      <c r="Q29" t="str">
        <v>N/A</v>
      </c>
      <c r="R29" t="str">
        <v>N/A</v>
      </c>
      <c r="S29" t="str">
        <v>N/A</v>
      </c>
      <c r="T29">
        <v>120</v>
      </c>
      <c r="U29">
        <v>1.2</v>
      </c>
      <c r="V29" t="str">
        <v>N/A</v>
      </c>
      <c r="X29" t="str">
        <f>IFERROR(__xludf.DUMMYFUNCTION("""COMPUTED_VALUE"""),"")</f>
        <v/>
      </c>
      <c r="Y29" t="str">
        <v>Crystal crate #3, Crystal crate #4</v>
      </c>
    </row>
    <row r="30">
      <c r="A30" t="str">
        <v>FireArcher</v>
      </c>
      <c r="B30" t="str">
        <v>N/A</v>
      </c>
      <c r="C30" t="str">
        <v>Fire Archer</v>
      </c>
      <c r="D30" t="str">
        <v>https://raw.githubusercontent.com/BlackDragon2435/UnitsBGWiki/main/assets/FireArcher_Epic.jpg</v>
      </c>
      <c r="E30" t="str">
        <v>Ranger</v>
      </c>
      <c r="F30" t="str">
        <v>N/A</v>
      </c>
      <c r="G30" t="str">
        <v>Fire</v>
      </c>
      <c r="H30">
        <v>20</v>
      </c>
      <c r="I30">
        <v>0</v>
      </c>
      <c r="J30" t="str">
        <v>Epic</v>
      </c>
      <c r="K30">
        <f>IF(H30&gt;0, H30/U30, "N/A")</f>
        <v>20</v>
      </c>
      <c r="L30" t="str">
        <v>N/A</v>
      </c>
      <c r="M30" t="str">
        <v>N/A</v>
      </c>
      <c r="N30">
        <v>35</v>
      </c>
      <c r="O30" t="str">
        <v>N/A</v>
      </c>
      <c r="P30" t="str">
        <v>N/A</v>
      </c>
      <c r="Q30" t="str">
        <v>Damage</v>
      </c>
      <c r="R30" t="str">
        <v>N/A</v>
      </c>
      <c r="S30" t="str">
        <v>Burn</v>
      </c>
      <c r="T30">
        <v>80</v>
      </c>
      <c r="U30">
        <v>1</v>
      </c>
      <c r="V30" t="str">
        <v>N/A</v>
      </c>
      <c r="X30" t="str">
        <f>IFERROR(__xludf.DUMMYFUNCTION("""COMPUTED_VALUE"""),"")</f>
        <v/>
      </c>
      <c r="Y30" t="str">
        <v>Epic box, Legendary box, Mythic box</v>
      </c>
    </row>
    <row r="31">
      <c r="A31" t="str">
        <v>NoobOnTheBeach</v>
      </c>
      <c r="B31" t="str">
        <v>N/A</v>
      </c>
      <c r="C31" t="str">
        <v>Noob On The Beach</v>
      </c>
      <c r="D31" t="str">
        <v>https://raw.githubusercontent.com/BlackDragon2435/UnitsBGWiki/main/assets/NoobOnTheBeach_Legendary.jpg</v>
      </c>
      <c r="E31" t="str">
        <v>Warrior</v>
      </c>
      <c r="F31" t="str">
        <v>N/A</v>
      </c>
      <c r="G31" t="str">
        <v>N/A</v>
      </c>
      <c r="H31">
        <v>40</v>
      </c>
      <c r="I31">
        <v>0</v>
      </c>
      <c r="J31" t="str">
        <v>Legendary</v>
      </c>
      <c r="K31">
        <f>IF(H31&gt;0, H31/U31, "N/A")</f>
        <v>61.53846154</v>
      </c>
      <c r="L31" t="str">
        <v>N/A</v>
      </c>
      <c r="M31" t="str">
        <v>N/A</v>
      </c>
      <c r="N31">
        <v>6</v>
      </c>
      <c r="O31" t="str">
        <v>N/A</v>
      </c>
      <c r="P31" t="str">
        <v>N/A</v>
      </c>
      <c r="Q31" t="str">
        <v>N/A</v>
      </c>
      <c r="R31" t="str">
        <v>N/A</v>
      </c>
      <c r="S31" t="str">
        <v>N/A</v>
      </c>
      <c r="T31">
        <v>300</v>
      </c>
      <c r="U31">
        <v>0.65</v>
      </c>
      <c r="V31" t="str">
        <v>N/A</v>
      </c>
      <c r="X31" t="str">
        <f>IFERROR(__xludf.DUMMYFUNCTION("""COMPUTED_VALUE"""),"")</f>
        <v/>
      </c>
      <c r="Y31" t="str">
        <v>Not in a provided crate</v>
      </c>
    </row>
    <row r="32">
      <c r="A32" t="str">
        <v>GoblinShaman</v>
      </c>
      <c r="B32" t="str">
        <v>N/A</v>
      </c>
      <c r="C32" t="str">
        <v>Goblin Shaman</v>
      </c>
      <c r="D32" t="str">
        <v>https://raw.githubusercontent.com/BlackDragon2435/UnitsBGWiki/main/assets/GoblinShaman_Rare.jpg</v>
      </c>
      <c r="E32" t="str">
        <v>Healer</v>
      </c>
      <c r="F32" t="str">
        <v>N/A</v>
      </c>
      <c r="G32" t="str">
        <v>Healing</v>
      </c>
      <c r="H32">
        <v>5</v>
      </c>
      <c r="I32">
        <v>0</v>
      </c>
      <c r="J32" t="str">
        <v>Rare</v>
      </c>
      <c r="K32">
        <f>IF(H32&gt;0, H32/U32, "N/A")</f>
        <v>5</v>
      </c>
      <c r="L32" t="str">
        <v>N/A</v>
      </c>
      <c r="M32" t="str">
        <v>N/A</v>
      </c>
      <c r="N32">
        <v>15</v>
      </c>
      <c r="O32" t="str">
        <v>N/A</v>
      </c>
      <c r="P32" t="str">
        <v>N/A</v>
      </c>
      <c r="Q32" t="str">
        <v>N/A</v>
      </c>
      <c r="R32" t="str">
        <v>N/A</v>
      </c>
      <c r="S32" t="str">
        <v>N/A</v>
      </c>
      <c r="T32">
        <v>70</v>
      </c>
      <c r="U32">
        <v>1</v>
      </c>
      <c r="V32" t="str">
        <v>N/A</v>
      </c>
      <c r="X32" t="str">
        <f>IFERROR(__xludf.DUMMYFUNCTION("""COMPUTED_VALUE"""),"")</f>
        <v/>
      </c>
      <c r="Y32" t="str">
        <v>The Goblins Cave Crate</v>
      </c>
    </row>
    <row r="33">
      <c r="A33" t="str">
        <v>DarkHerald</v>
      </c>
      <c r="B33">
        <v>0.05</v>
      </c>
      <c r="C33" t="str">
        <v>Dark Herald</v>
      </c>
      <c r="D33" t="str">
        <v>https://raw.githubusercontent.com/BlackDragon2435/UnitsBGWiki/main/assets/DarkHerald_Mythic.jpg</v>
      </c>
      <c r="E33" t="str">
        <v>Support</v>
      </c>
      <c r="F33" t="str">
        <v>N/A</v>
      </c>
      <c r="G33" t="str">
        <v>Bard</v>
      </c>
      <c r="H33">
        <v>5</v>
      </c>
      <c r="I33">
        <v>0</v>
      </c>
      <c r="J33" t="str">
        <v>Mythic</v>
      </c>
      <c r="K33">
        <f>IF(H33&gt;0, H33/U33, "N/A")</f>
        <v>0.8333333333</v>
      </c>
      <c r="L33">
        <v>100</v>
      </c>
      <c r="M33">
        <v>0.05</v>
      </c>
      <c r="N33">
        <v>70</v>
      </c>
      <c r="O33" t="str">
        <v>N/A</v>
      </c>
      <c r="P33">
        <v>1.75</v>
      </c>
      <c r="Q33" t="str">
        <v>Bard</v>
      </c>
      <c r="R33" t="str">
        <v>N/A</v>
      </c>
      <c r="S33" t="str">
        <v>Bard</v>
      </c>
      <c r="T33">
        <v>110</v>
      </c>
      <c r="U33">
        <v>6</v>
      </c>
      <c r="V33" t="str">
        <v>N/A</v>
      </c>
      <c r="X33" t="str">
        <f>IFERROR(__xludf.DUMMYFUNCTION("""COMPUTED_VALUE"""),"D")</f>
        <v>D</v>
      </c>
      <c r="Y33" t="str">
        <v>Halloween Crate #1</v>
      </c>
    </row>
    <row r="34">
      <c r="A34" t="str">
        <v>Vampire</v>
      </c>
      <c r="B34" t="str">
        <v>N/A</v>
      </c>
      <c r="C34" t="str">
        <v>Vampire</v>
      </c>
      <c r="D34" t="str">
        <v>https://raw.githubusercontent.com/BlackDragon2435/UnitsBGWiki/main/assets/Vampire_Epic.jpg</v>
      </c>
      <c r="E34" t="str">
        <v>Warrior</v>
      </c>
      <c r="F34" t="str">
        <v>N/A</v>
      </c>
      <c r="G34" t="str">
        <v>Lifesteal</v>
      </c>
      <c r="H34">
        <v>30</v>
      </c>
      <c r="I34">
        <v>0</v>
      </c>
      <c r="J34" t="str">
        <v>Epic</v>
      </c>
      <c r="K34">
        <f>IF(H34&gt;0, H34/U34, "N/A")</f>
        <v>27.27272727</v>
      </c>
      <c r="L34" t="str">
        <v>N/A</v>
      </c>
      <c r="M34" t="str">
        <v>N/A</v>
      </c>
      <c r="N34">
        <v>7</v>
      </c>
      <c r="O34" t="str">
        <v>N/A</v>
      </c>
      <c r="P34" t="str">
        <v>N/A</v>
      </c>
      <c r="Q34" t="str">
        <v>Lifesteal</v>
      </c>
      <c r="R34">
        <v>20</v>
      </c>
      <c r="S34" t="str">
        <v>Lifesteal</v>
      </c>
      <c r="T34">
        <v>400</v>
      </c>
      <c r="U34">
        <v>1.1</v>
      </c>
      <c r="V34" t="str">
        <v>N/A</v>
      </c>
      <c r="X34" t="str">
        <f>IFERROR(__xludf.DUMMYFUNCTION("""COMPUTED_VALUE"""),"")</f>
        <v/>
      </c>
      <c r="Y34" t="str">
        <v>The Graveyard Crate</v>
      </c>
    </row>
    <row r="35">
      <c r="A35" t="str">
        <v>Cupid</v>
      </c>
      <c r="B35" t="str">
        <v>N/A</v>
      </c>
      <c r="C35" t="str">
        <v>Cupid</v>
      </c>
      <c r="D35" t="str">
        <v>https://placehold.co/60x60/cccccc/333333?text=C</v>
      </c>
      <c r="E35" t="str">
        <v>Ranger</v>
      </c>
      <c r="F35" t="str">
        <v>N/A</v>
      </c>
      <c r="G35" t="str">
        <v>Hearts</v>
      </c>
      <c r="H35">
        <v>40</v>
      </c>
      <c r="I35">
        <v>0</v>
      </c>
      <c r="J35" t="str">
        <v>Mythic</v>
      </c>
      <c r="K35">
        <f>IF(H35&gt;0, H35/U35, "N/A")</f>
        <v>20</v>
      </c>
      <c r="L35" t="str">
        <v>N/A</v>
      </c>
      <c r="M35" t="str">
        <v>N/A</v>
      </c>
      <c r="N35">
        <v>45</v>
      </c>
      <c r="O35" t="str">
        <v>N/A</v>
      </c>
      <c r="P35" t="str">
        <v>N/A</v>
      </c>
      <c r="Q35" t="str">
        <v>Hearts</v>
      </c>
      <c r="R35" t="str">
        <v>N/A</v>
      </c>
      <c r="S35" t="str">
        <v>Hearts</v>
      </c>
      <c r="T35">
        <v>110</v>
      </c>
      <c r="U35">
        <v>2</v>
      </c>
      <c r="V35" t="str">
        <v>N/A</v>
      </c>
      <c r="X35" t="str">
        <f>IFERROR(__xludf.DUMMYFUNCTION("""COMPUTED_VALUE"""),"")</f>
        <v/>
      </c>
      <c r="Y35" t="str">
        <v>Crystal crate #3, Crystal crate #4</v>
      </c>
    </row>
    <row r="36">
      <c r="A36" t="str">
        <v>Crabman</v>
      </c>
      <c r="B36" t="str">
        <v>N/A</v>
      </c>
      <c r="C36" t="str">
        <v>Crabman</v>
      </c>
      <c r="D36" t="str">
        <v>https://raw.githubusercontent.com/BlackDragon2435/UnitsBGWiki/main/assets/Crabman_Epic.jpg</v>
      </c>
      <c r="E36" t="str">
        <v>Tank</v>
      </c>
      <c r="F36" t="str">
        <v>N/A</v>
      </c>
      <c r="G36" t="str">
        <v>N/A</v>
      </c>
      <c r="H36">
        <v>50</v>
      </c>
      <c r="I36">
        <v>0</v>
      </c>
      <c r="J36" t="str">
        <v>Epic</v>
      </c>
      <c r="K36">
        <f>IF(H36&gt;0, H36/U36, "N/A")</f>
        <v>23.80952381</v>
      </c>
      <c r="L36" t="str">
        <v>N/A</v>
      </c>
      <c r="M36" t="str">
        <v>N/A</v>
      </c>
      <c r="N36">
        <v>6</v>
      </c>
      <c r="O36" t="str">
        <v>N/A</v>
      </c>
      <c r="P36" t="str">
        <v>N/A</v>
      </c>
      <c r="Q36" t="str">
        <v>N/A</v>
      </c>
      <c r="R36" t="str">
        <v>N/A</v>
      </c>
      <c r="S36" t="str">
        <v>N/A</v>
      </c>
      <c r="T36">
        <v>800</v>
      </c>
      <c r="U36">
        <v>2.1</v>
      </c>
      <c r="V36" t="str">
        <v>N/A</v>
      </c>
      <c r="X36" t="str">
        <f>IFERROR(__xludf.DUMMYFUNCTION("""COMPUTED_VALUE"""),"")</f>
        <v/>
      </c>
      <c r="Y36" t="str">
        <v>Not in a provided crate</v>
      </c>
    </row>
    <row r="37">
      <c r="A37" t="str">
        <v>Barbarian</v>
      </c>
      <c r="B37" t="str">
        <v>N/A</v>
      </c>
      <c r="C37" t="str">
        <v>Barbarian</v>
      </c>
      <c r="D37" t="str">
        <v>https://raw.githubusercontent.com/BlackDragon2435/UnitsBGWiki/main/assets/Barbarian_Epic.jpg</v>
      </c>
      <c r="E37" t="str">
        <v>Tank</v>
      </c>
      <c r="F37" t="str">
        <v>N/A</v>
      </c>
      <c r="G37" t="str">
        <v>N/A</v>
      </c>
      <c r="H37">
        <v>40</v>
      </c>
      <c r="I37">
        <v>0</v>
      </c>
      <c r="J37" t="str">
        <v>Epic</v>
      </c>
      <c r="K37">
        <f>IF(H37&gt;0, H37/U37, "N/A")</f>
        <v>20</v>
      </c>
      <c r="L37" t="str">
        <v>N/A</v>
      </c>
      <c r="M37" t="str">
        <v>N/A</v>
      </c>
      <c r="N37">
        <v>6</v>
      </c>
      <c r="O37" t="str">
        <v>N/A</v>
      </c>
      <c r="P37" t="str">
        <v>N/A</v>
      </c>
      <c r="Q37" t="str">
        <v>N/A</v>
      </c>
      <c r="R37" t="str">
        <v>N/A</v>
      </c>
      <c r="S37" t="str">
        <v>N/A</v>
      </c>
      <c r="T37">
        <v>460</v>
      </c>
      <c r="U37">
        <v>2</v>
      </c>
      <c r="V37" t="str">
        <v>N/A</v>
      </c>
      <c r="X37" t="str">
        <f>IFERROR(__xludf.DUMMYFUNCTION("""COMPUTED_VALUE"""),"")</f>
        <v/>
      </c>
      <c r="Y37" t="str">
        <v>Epic box, Legendary box, Crystal crate #1, Crystal crate #4, Mythic box</v>
      </c>
    </row>
    <row r="38">
      <c r="A38" t="str">
        <v>TheReaper</v>
      </c>
      <c r="B38" t="str">
        <v>N/A</v>
      </c>
      <c r="C38" t="str">
        <v>The Reaper(BossUnit)</v>
      </c>
      <c r="D38" t="str">
        <v>https://placehold.co/60x60/cccccc/333333?text=TR</v>
      </c>
      <c r="E38" t="str">
        <v>Warrior</v>
      </c>
      <c r="F38" t="str">
        <v>N/A</v>
      </c>
      <c r="G38" t="str">
        <v>Lifesteal</v>
      </c>
      <c r="H38">
        <v>130</v>
      </c>
      <c r="I38">
        <v>50</v>
      </c>
      <c r="J38" t="str">
        <v>Legendary</v>
      </c>
      <c r="K38">
        <f>IF(H38&gt;0, H38/U38, "N/A")</f>
        <v>57.77777778</v>
      </c>
      <c r="L38">
        <v>1.5</v>
      </c>
      <c r="M38" t="str">
        <v>N/A</v>
      </c>
      <c r="N38">
        <v>15</v>
      </c>
      <c r="O38" t="str">
        <v>N/A</v>
      </c>
      <c r="P38" t="str">
        <v>N/A</v>
      </c>
      <c r="Q38" t="str">
        <v>Lifesteal</v>
      </c>
      <c r="R38">
        <v>80</v>
      </c>
      <c r="S38" t="str">
        <v>Lifesteal</v>
      </c>
      <c r="T38">
        <v>1600</v>
      </c>
      <c r="U38">
        <v>2.25</v>
      </c>
      <c r="V38" t="str">
        <v>N/A</v>
      </c>
      <c r="X38" t="str">
        <f>IFERROR(__xludf.DUMMYFUNCTION("""COMPUTED_VALUE"""),"F")</f>
        <v>F</v>
      </c>
      <c r="Y38" t="str">
        <v>Not in a provided crate</v>
      </c>
    </row>
    <row r="39">
      <c r="A39" t="str">
        <v>Spearman</v>
      </c>
      <c r="B39" t="str">
        <v>N/A</v>
      </c>
      <c r="C39" t="str">
        <v>Spearman</v>
      </c>
      <c r="D39" t="str">
        <v>https://raw.githubusercontent.com/BlackDragon2435/UnitsBGWiki/main/assets/Spearman_Rare.jpg</v>
      </c>
      <c r="E39" t="str">
        <v>Warrior</v>
      </c>
      <c r="F39" t="str">
        <v>N/A</v>
      </c>
      <c r="G39" t="str">
        <v>N/A</v>
      </c>
      <c r="H39">
        <v>18</v>
      </c>
      <c r="I39">
        <v>15</v>
      </c>
      <c r="J39" t="str">
        <v>Rare</v>
      </c>
      <c r="K39">
        <f>IF(H39&gt;0, H39/U39, "N/A")</f>
        <v>15</v>
      </c>
      <c r="L39" t="str">
        <v>N/A</v>
      </c>
      <c r="M39" t="str">
        <v>N/A</v>
      </c>
      <c r="N39">
        <v>12</v>
      </c>
      <c r="O39" t="str">
        <v>N/A</v>
      </c>
      <c r="P39" t="str">
        <v>N/A</v>
      </c>
      <c r="Q39" t="str">
        <v>N/A</v>
      </c>
      <c r="R39" t="str">
        <v>N/A</v>
      </c>
      <c r="S39" t="str">
        <v>N/A</v>
      </c>
      <c r="T39">
        <v>150</v>
      </c>
      <c r="U39">
        <v>1.2</v>
      </c>
      <c r="V39" t="str">
        <v>N/A</v>
      </c>
      <c r="X39" t="str">
        <f>IFERROR(__xludf.DUMMYFUNCTION("""COMPUTED_VALUE"""),"")</f>
        <v/>
      </c>
      <c r="Y39" t="str">
        <v>Beginner box #1, Beginner box #2, Epic box</v>
      </c>
    </row>
    <row r="40">
      <c r="A40" t="str">
        <v>ElvenWizard</v>
      </c>
      <c r="B40" t="str">
        <v>N/A</v>
      </c>
      <c r="C40" t="str">
        <v>Elven Wizard</v>
      </c>
      <c r="D40" t="str">
        <v>https://placehold.co/60x60/cccccc/333333?text=EW</v>
      </c>
      <c r="E40" t="str">
        <v>Wizard</v>
      </c>
      <c r="F40" t="str">
        <v>N/A</v>
      </c>
      <c r="G40" t="str">
        <v>Weak</v>
      </c>
      <c r="H40">
        <v>10</v>
      </c>
      <c r="I40">
        <v>0</v>
      </c>
      <c r="J40" t="str">
        <v>Legendary</v>
      </c>
      <c r="K40">
        <f>IF(H40&gt;0, H40/U40, "N/A")</f>
        <v>5</v>
      </c>
      <c r="L40" t="str">
        <v>N/A</v>
      </c>
      <c r="M40" t="str">
        <v>N/A</v>
      </c>
      <c r="N40">
        <v>30</v>
      </c>
      <c r="O40" t="str">
        <v>N/A</v>
      </c>
      <c r="P40" t="str">
        <v>N/A</v>
      </c>
      <c r="Q40" t="str">
        <v>Weak</v>
      </c>
      <c r="R40" t="str">
        <v>N/A</v>
      </c>
      <c r="S40" t="str">
        <v>Weak</v>
      </c>
      <c r="T40">
        <v>100</v>
      </c>
      <c r="U40">
        <v>2</v>
      </c>
      <c r="V40" t="str">
        <v>N/A</v>
      </c>
      <c r="X40" t="str">
        <f>IFERROR(__xludf.DUMMYFUNCTION("""COMPUTED_VALUE"""),"")</f>
        <v/>
      </c>
      <c r="Y40" t="str">
        <v>The Elven Forest Crate</v>
      </c>
    </row>
    <row r="41">
      <c r="A41" t="str">
        <v>Nereid</v>
      </c>
      <c r="B41" t="str">
        <v>N/A</v>
      </c>
      <c r="C41" t="str">
        <v>Nereid</v>
      </c>
      <c r="D41" t="str">
        <v>https://placehold.co/60x60/cccccc/333333?text=N</v>
      </c>
      <c r="E41" t="str">
        <v>Healer</v>
      </c>
      <c r="F41" t="str">
        <v>N/A</v>
      </c>
      <c r="G41" t="str">
        <v>Healing</v>
      </c>
      <c r="H41">
        <v>40</v>
      </c>
      <c r="I41">
        <v>0</v>
      </c>
      <c r="J41" t="str">
        <v>Mythic</v>
      </c>
      <c r="K41">
        <f>IF(H41&gt;0, H41/U41, "N/A")</f>
        <v>26.66666667</v>
      </c>
      <c r="L41" t="str">
        <v>N/A</v>
      </c>
      <c r="M41" t="str">
        <v>N/A</v>
      </c>
      <c r="N41">
        <v>50</v>
      </c>
      <c r="O41" t="str">
        <v>N/A</v>
      </c>
      <c r="P41" t="str">
        <v>N/A</v>
      </c>
      <c r="Q41" t="str">
        <v>N/A</v>
      </c>
      <c r="R41" t="str">
        <v>N/A</v>
      </c>
      <c r="S41" t="str">
        <v>N/A</v>
      </c>
      <c r="T41">
        <v>140</v>
      </c>
      <c r="U41">
        <v>1.5</v>
      </c>
      <c r="V41" t="str">
        <v>N/A</v>
      </c>
      <c r="X41" t="str">
        <f>IFERROR(__xludf.DUMMYFUNCTION("""COMPUTED_VALUE"""),"C")</f>
        <v>C</v>
      </c>
      <c r="Y41" t="str">
        <v>Not in a provided crate</v>
      </c>
    </row>
    <row r="42">
      <c r="A42" t="str">
        <v>Assassin</v>
      </c>
      <c r="B42">
        <v>0.2</v>
      </c>
      <c r="C42" t="str">
        <v>Assassin</v>
      </c>
      <c r="D42" t="str">
        <v>https://placehold.co/60x60/cccccc/333333?text=A</v>
      </c>
      <c r="E42" t="str">
        <v>Assassin</v>
      </c>
      <c r="F42" t="str">
        <v>N/A</v>
      </c>
      <c r="G42" t="str">
        <v>Poison</v>
      </c>
      <c r="H42">
        <v>18</v>
      </c>
      <c r="I42">
        <v>0</v>
      </c>
      <c r="J42" t="str">
        <v>Epic</v>
      </c>
      <c r="K42">
        <f>IF(H42&gt;0, H42/U42, "N/A")</f>
        <v>30</v>
      </c>
      <c r="L42" t="str">
        <v>N/A</v>
      </c>
      <c r="M42">
        <v>0.2</v>
      </c>
      <c r="N42">
        <v>6</v>
      </c>
      <c r="O42">
        <v>20</v>
      </c>
      <c r="P42" t="str">
        <v>N/A</v>
      </c>
      <c r="Q42" t="str">
        <v>Damage</v>
      </c>
      <c r="R42" t="str">
        <v>N/A</v>
      </c>
      <c r="S42" t="str">
        <v>Poison</v>
      </c>
      <c r="T42">
        <v>90</v>
      </c>
      <c r="U42">
        <v>0.6</v>
      </c>
      <c r="V42">
        <v>2</v>
      </c>
      <c r="X42" t="str">
        <f>IFERROR(__xludf.DUMMYFUNCTION("""COMPUTED_VALUE"""),"")</f>
        <v/>
      </c>
      <c r="Y42" t="str">
        <v>Epic box, Legendary box, Mythic box</v>
      </c>
    </row>
    <row r="43">
      <c r="A43" t="str">
        <v>GoblinArcher</v>
      </c>
      <c r="B43" t="str">
        <v>N/A</v>
      </c>
      <c r="C43" t="str">
        <v>Goblin Archer</v>
      </c>
      <c r="D43" t="str">
        <v>https://raw.githubusercontent.com/BlackDragon2435/UnitsBGWiki/main/assets/GoblinArcher_Uncommon.jpg</v>
      </c>
      <c r="E43" t="str">
        <v>Ranger</v>
      </c>
      <c r="F43" t="str">
        <v>N/A</v>
      </c>
      <c r="G43" t="str">
        <v>N/A</v>
      </c>
      <c r="H43">
        <v>10</v>
      </c>
      <c r="I43">
        <v>0</v>
      </c>
      <c r="J43" t="str">
        <v>Uncommon</v>
      </c>
      <c r="K43">
        <f>IF(H43&gt;0, H43/U43, "N/A")</f>
        <v>8.333333333</v>
      </c>
      <c r="L43" t="str">
        <v>N/A</v>
      </c>
      <c r="M43" t="str">
        <v>N/A</v>
      </c>
      <c r="N43">
        <v>30</v>
      </c>
      <c r="O43" t="str">
        <v>N/A</v>
      </c>
      <c r="P43" t="str">
        <v>N/A</v>
      </c>
      <c r="Q43" t="str">
        <v>N/A</v>
      </c>
      <c r="R43" t="str">
        <v>N/A</v>
      </c>
      <c r="S43" t="str">
        <v>N/A</v>
      </c>
      <c r="T43">
        <v>75</v>
      </c>
      <c r="U43">
        <v>1.2</v>
      </c>
      <c r="V43" t="str">
        <v>N/A</v>
      </c>
      <c r="X43" t="str">
        <f>IFERROR(__xludf.DUMMYFUNCTION("""COMPUTED_VALUE"""),"")</f>
        <v/>
      </c>
      <c r="Y43" t="str">
        <v>The Goblins Cave Crate</v>
      </c>
    </row>
    <row r="44">
      <c r="A44" t="str">
        <v>Hoplomachus</v>
      </c>
      <c r="B44" t="str">
        <v>N/A</v>
      </c>
      <c r="C44" t="str">
        <v>Hoplomachus</v>
      </c>
      <c r="D44" t="str">
        <v>https://placehold.co/60x60/cccccc/333333?text=H</v>
      </c>
      <c r="E44" t="str">
        <v>Warrior</v>
      </c>
      <c r="F44" t="str">
        <v>N/A</v>
      </c>
      <c r="G44" t="str">
        <v>Weak</v>
      </c>
      <c r="H44">
        <v>20</v>
      </c>
      <c r="I44">
        <v>0</v>
      </c>
      <c r="J44" t="str">
        <v>Legendary</v>
      </c>
      <c r="K44">
        <f>IF(H44&gt;0, H44/U44, "N/A")</f>
        <v>18.18181818</v>
      </c>
      <c r="L44" t="str">
        <v>N/A</v>
      </c>
      <c r="M44">
        <v>0.1</v>
      </c>
      <c r="N44">
        <v>8</v>
      </c>
      <c r="O44" t="str">
        <v>N/A</v>
      </c>
      <c r="P44" t="str">
        <v>N/A</v>
      </c>
      <c r="Q44" t="str">
        <v>Weak</v>
      </c>
      <c r="R44" t="str">
        <v>N/A</v>
      </c>
      <c r="S44" t="str">
        <v>Weak</v>
      </c>
      <c r="T44">
        <v>250</v>
      </c>
      <c r="U44">
        <v>1.1</v>
      </c>
      <c r="V44" t="str">
        <v>N/A</v>
      </c>
      <c r="X44" t="str">
        <f>IFERROR(__xludf.DUMMYFUNCTION("""COMPUTED_VALUE"""),"")</f>
        <v/>
      </c>
      <c r="Y44" t="str">
        <v>Crystal crate #3, Crystal crate #2, Crystal crate #4</v>
      </c>
    </row>
    <row r="45">
      <c r="A45" t="str">
        <v>Bandit</v>
      </c>
      <c r="B45" t="str">
        <v>N/A</v>
      </c>
      <c r="C45" t="str">
        <v>Bandit</v>
      </c>
      <c r="D45" t="str">
        <v>https://raw.githubusercontent.com/BlackDragon2435/UnitsBGWiki/main/assets/Bandit_Mythic.jpg</v>
      </c>
      <c r="E45" t="str">
        <v>Ranger</v>
      </c>
      <c r="F45" t="str">
        <v>N/A</v>
      </c>
      <c r="G45" t="str">
        <v>N/A</v>
      </c>
      <c r="H45">
        <v>60</v>
      </c>
      <c r="I45">
        <v>0</v>
      </c>
      <c r="J45" t="str">
        <v>Mythic</v>
      </c>
      <c r="K45">
        <f>IF(H45&gt;0, H45/U45, "N/A")</f>
        <v>26.66666667</v>
      </c>
      <c r="L45" t="str">
        <v>N/A</v>
      </c>
      <c r="M45" t="str">
        <v>N/A</v>
      </c>
      <c r="N45">
        <v>45</v>
      </c>
      <c r="O45" t="str">
        <v>N/A</v>
      </c>
      <c r="P45" t="str">
        <v>N/A</v>
      </c>
      <c r="Q45" t="str">
        <v>N/A</v>
      </c>
      <c r="R45" t="str">
        <v>N/A</v>
      </c>
      <c r="S45" t="str">
        <v>N/A</v>
      </c>
      <c r="T45">
        <v>90</v>
      </c>
      <c r="U45">
        <v>2.25</v>
      </c>
      <c r="V45" t="str">
        <v>N/A</v>
      </c>
      <c r="X45" t="str">
        <f>IFERROR(__xludf.DUMMYFUNCTION("""COMPUTED_VALUE"""),"C")</f>
        <v>C</v>
      </c>
      <c r="Y45" t="str">
        <v>Crystal crate #2</v>
      </c>
    </row>
    <row r="46">
      <c r="A46" t="str">
        <v>Sharkman</v>
      </c>
      <c r="B46" t="str">
        <v>N/A</v>
      </c>
      <c r="C46" t="str">
        <v>Sharkman</v>
      </c>
      <c r="D46" t="str">
        <v>https://raw.githubusercontent.com/BlackDragon2435/UnitsBGWiki/main/assets/Sharkman_Epic.jpg</v>
      </c>
      <c r="E46" t="str">
        <v>Warrior</v>
      </c>
      <c r="F46" t="str">
        <v>N/A</v>
      </c>
      <c r="G46" t="str">
        <v>N/A</v>
      </c>
      <c r="H46">
        <v>35</v>
      </c>
      <c r="I46">
        <v>0</v>
      </c>
      <c r="J46" t="str">
        <v>Epic</v>
      </c>
      <c r="K46">
        <f>IF(H46&gt;0, H46/U46, "N/A")</f>
        <v>38.88888889</v>
      </c>
      <c r="L46" t="str">
        <v>N/A</v>
      </c>
      <c r="M46" t="str">
        <v>N/A</v>
      </c>
      <c r="N46">
        <v>6</v>
      </c>
      <c r="O46" t="str">
        <v>N/A</v>
      </c>
      <c r="P46" t="str">
        <v>N/A</v>
      </c>
      <c r="Q46" t="str">
        <v>N/A</v>
      </c>
      <c r="R46" t="str">
        <v>N/A</v>
      </c>
      <c r="S46" t="str">
        <v>N/A</v>
      </c>
      <c r="T46">
        <v>210</v>
      </c>
      <c r="U46">
        <v>0.9</v>
      </c>
      <c r="V46" t="str">
        <v>N/A</v>
      </c>
      <c r="X46" t="str">
        <f>IFERROR(__xludf.DUMMYFUNCTION("""COMPUTED_VALUE"""),"C")</f>
        <v>C</v>
      </c>
      <c r="Y46" t="str">
        <v>Not in a provided crate</v>
      </c>
    </row>
    <row r="47">
      <c r="A47" t="str">
        <v>Squire</v>
      </c>
      <c r="B47" t="str">
        <v>N/A</v>
      </c>
      <c r="C47" t="str">
        <v>Squire</v>
      </c>
      <c r="D47" t="str">
        <v>https://raw.githubusercontent.com/BlackDragon2435/UnitsBGWiki/main/assets/Squire_Rare.jpg</v>
      </c>
      <c r="E47" t="str">
        <v>Tank</v>
      </c>
      <c r="F47" t="str">
        <v>N/A</v>
      </c>
      <c r="G47" t="str">
        <v>N/A</v>
      </c>
      <c r="H47">
        <v>12.5</v>
      </c>
      <c r="I47">
        <v>0</v>
      </c>
      <c r="J47" t="str">
        <v>Rare</v>
      </c>
      <c r="K47">
        <f>IF(H47&gt;0, H47/U47, "N/A")</f>
        <v>8.333333333</v>
      </c>
      <c r="L47" t="str">
        <v>N/A</v>
      </c>
      <c r="M47" t="str">
        <v>N/A</v>
      </c>
      <c r="N47">
        <v>6</v>
      </c>
      <c r="O47" t="str">
        <v>N/A</v>
      </c>
      <c r="P47" t="str">
        <v>N/A</v>
      </c>
      <c r="Q47" t="str">
        <v>N/A</v>
      </c>
      <c r="R47" t="str">
        <v>N/A</v>
      </c>
      <c r="S47" t="str">
        <v>N/A</v>
      </c>
      <c r="T47">
        <v>300</v>
      </c>
      <c r="U47">
        <v>1.5</v>
      </c>
      <c r="V47" t="str">
        <v>N/A</v>
      </c>
      <c r="X47" t="str">
        <f>IFERROR(__xludf.DUMMYFUNCTION("""COMPUTED_VALUE"""),"")</f>
        <v/>
      </c>
      <c r="Y47" t="str">
        <v>Beginner box #1, Beginner box #2, Epic box</v>
      </c>
    </row>
    <row r="48">
      <c r="A48" t="str">
        <v>Gladiator</v>
      </c>
      <c r="B48" t="str">
        <v>N/A</v>
      </c>
      <c r="C48" t="str">
        <v>Gladiator</v>
      </c>
      <c r="D48" t="str">
        <v>https://raw.githubusercontent.com/BlackDragon2435/UnitsBGWiki/main/assets/Gladiator_Epic.jpg</v>
      </c>
      <c r="E48" t="str">
        <v>Warrior</v>
      </c>
      <c r="F48" t="str">
        <v>N/A</v>
      </c>
      <c r="G48" t="str">
        <v>N/A</v>
      </c>
      <c r="H48">
        <v>20</v>
      </c>
      <c r="I48">
        <v>0</v>
      </c>
      <c r="J48" t="str">
        <v>Epic</v>
      </c>
      <c r="K48">
        <f>IF(H48&gt;0, H48/U48, "N/A")</f>
        <v>20</v>
      </c>
      <c r="L48" t="str">
        <v>N/A</v>
      </c>
      <c r="M48" t="str">
        <v>N/A</v>
      </c>
      <c r="N48">
        <v>6</v>
      </c>
      <c r="O48" t="str">
        <v>N/A</v>
      </c>
      <c r="P48" t="str">
        <v>N/A</v>
      </c>
      <c r="Q48" t="str">
        <v>N/A</v>
      </c>
      <c r="R48" t="str">
        <v>N/A</v>
      </c>
      <c r="S48" t="str">
        <v>N/A</v>
      </c>
      <c r="T48">
        <v>180</v>
      </c>
      <c r="U48">
        <v>1</v>
      </c>
      <c r="V48" t="str">
        <v>N/A</v>
      </c>
      <c r="X48" t="str">
        <f>IFERROR(__xludf.DUMMYFUNCTION("""COMPUTED_VALUE"""),"")</f>
        <v/>
      </c>
      <c r="Y48" t="str">
        <v>Epic box, Legendary box</v>
      </c>
    </row>
    <row r="49">
      <c r="A49" t="str">
        <v>SkeletonDuelist</v>
      </c>
      <c r="B49" t="str">
        <v>N/A</v>
      </c>
      <c r="C49" t="str">
        <v>Skeleton Duelist</v>
      </c>
      <c r="D49" t="str">
        <v>https://placehold.co/60x60/cccccc/333333?text=SD</v>
      </c>
      <c r="E49" t="str">
        <v>Warrior</v>
      </c>
      <c r="F49" t="str">
        <v>N/A</v>
      </c>
      <c r="G49" t="str">
        <v>N/A</v>
      </c>
      <c r="H49">
        <v>15</v>
      </c>
      <c r="I49">
        <v>0</v>
      </c>
      <c r="J49" t="str">
        <v>Epic</v>
      </c>
      <c r="K49">
        <f>IF(H49&gt;0, H49/U49, "N/A")</f>
        <v>21.42857143</v>
      </c>
      <c r="L49" t="str">
        <v>N/A</v>
      </c>
      <c r="M49" t="str">
        <v>N/A</v>
      </c>
      <c r="N49">
        <v>5</v>
      </c>
      <c r="O49" t="str">
        <v>N/A</v>
      </c>
      <c r="P49" t="str">
        <v>N/A</v>
      </c>
      <c r="Q49" t="str">
        <v>N/A</v>
      </c>
      <c r="R49" t="str">
        <v>N/A</v>
      </c>
      <c r="S49" t="str">
        <v>N/A</v>
      </c>
      <c r="T49">
        <v>300</v>
      </c>
      <c r="U49">
        <v>0.7</v>
      </c>
      <c r="V49" t="str">
        <v>N/A</v>
      </c>
      <c r="X49" t="str">
        <f>IFERROR(__xludf.DUMMYFUNCTION("""COMPUTED_VALUE"""),"")</f>
        <v/>
      </c>
      <c r="Y49" t="str">
        <v>Beginner box #1, Beginner box #2</v>
      </c>
    </row>
    <row r="50">
      <c r="A50" t="str">
        <v>Peasant</v>
      </c>
      <c r="B50" t="str">
        <v>N/A</v>
      </c>
      <c r="C50" t="str">
        <v>Peasant</v>
      </c>
      <c r="D50" t="str">
        <v>https://raw.githubusercontent.com/BlackDragon2435/UnitsBGWiki/main/assets/Peasant_Uncommon.jpg</v>
      </c>
      <c r="E50" t="str">
        <v>Warrior</v>
      </c>
      <c r="F50" t="str">
        <v>N/A</v>
      </c>
      <c r="G50" t="str">
        <v>N/A</v>
      </c>
      <c r="H50">
        <v>5</v>
      </c>
      <c r="I50">
        <v>0</v>
      </c>
      <c r="J50" t="str">
        <v>Uncommon</v>
      </c>
      <c r="K50">
        <f>IF(H50&gt;0, H50/U50, "N/A")</f>
        <v>10</v>
      </c>
      <c r="L50" t="str">
        <v>N/A</v>
      </c>
      <c r="M50" t="str">
        <v>N/A</v>
      </c>
      <c r="N50">
        <v>6</v>
      </c>
      <c r="O50" t="str">
        <v>N/A</v>
      </c>
      <c r="P50" t="str">
        <v>N/A</v>
      </c>
      <c r="Q50" t="str">
        <v>N/A</v>
      </c>
      <c r="R50" t="str">
        <v>N/A</v>
      </c>
      <c r="S50" t="str">
        <v>N/A</v>
      </c>
      <c r="T50">
        <v>80</v>
      </c>
      <c r="U50">
        <v>0.5</v>
      </c>
      <c r="V50" t="str">
        <v>N/A</v>
      </c>
      <c r="X50" t="str">
        <f>IFERROR(__xludf.DUMMYFUNCTION("""COMPUTED_VALUE"""),"")</f>
        <v/>
      </c>
      <c r="Y50" t="str">
        <v>The Crimson Nest Crate</v>
      </c>
    </row>
    <row r="51">
      <c r="A51" t="str">
        <v>Frostflame</v>
      </c>
      <c r="B51" t="str">
        <v>N/A</v>
      </c>
      <c r="C51" t="str">
        <v>Frostflame</v>
      </c>
      <c r="D51" t="str">
        <v>https://raw.githubusercontent.com/BlackDragon2435/UnitsBGWiki/main/assets/Frostflame_Legendary.jpg</v>
      </c>
      <c r="E51" t="str">
        <v>Wizard</v>
      </c>
      <c r="F51" t="str">
        <v>N/A</v>
      </c>
      <c r="G51" t="str">
        <v>Frost</v>
      </c>
      <c r="H51">
        <v>25</v>
      </c>
      <c r="I51">
        <v>0</v>
      </c>
      <c r="J51" t="str">
        <v>Legendary</v>
      </c>
      <c r="K51">
        <f>IF(H51&gt;0, H51/U51, "N/A")</f>
        <v>14.28571429</v>
      </c>
      <c r="L51" t="str">
        <v>N/A</v>
      </c>
      <c r="M51" t="str">
        <v>N/A</v>
      </c>
      <c r="N51">
        <v>30</v>
      </c>
      <c r="O51" t="str">
        <v>N/A</v>
      </c>
      <c r="P51" t="str">
        <v>N/A</v>
      </c>
      <c r="Q51" t="str">
        <v>Slow</v>
      </c>
      <c r="R51" t="str">
        <v>N/A</v>
      </c>
      <c r="S51" t="str">
        <v>Slow</v>
      </c>
      <c r="T51">
        <v>200</v>
      </c>
      <c r="U51">
        <v>1.75</v>
      </c>
      <c r="V51" t="str">
        <v>N/A</v>
      </c>
      <c r="X51" t="str">
        <f>IFERROR(__xludf.DUMMYFUNCTION("""COMPUTED_VALUE"""),"")</f>
        <v/>
      </c>
      <c r="Y51" t="str">
        <v>The Graveyard Crate</v>
      </c>
    </row>
    <row r="52">
      <c r="A52" t="str">
        <v>SkeletonAssassin</v>
      </c>
      <c r="B52">
        <v>0.15</v>
      </c>
      <c r="C52" t="str">
        <v>Skeleton Assassin</v>
      </c>
      <c r="D52" t="str">
        <v>https://placehold.co/60x60/cccccc/333333?text=SA</v>
      </c>
      <c r="E52" t="str">
        <v>Assassin</v>
      </c>
      <c r="F52" t="str">
        <v>N/A</v>
      </c>
      <c r="G52" t="str">
        <v>Poison</v>
      </c>
      <c r="H52">
        <v>20</v>
      </c>
      <c r="I52">
        <v>0</v>
      </c>
      <c r="J52" t="str">
        <v>Rare</v>
      </c>
      <c r="K52">
        <f>IF(H52&gt;0, H52/U52, "N/A")</f>
        <v>26.66666667</v>
      </c>
      <c r="L52" t="str">
        <v>N/A</v>
      </c>
      <c r="M52">
        <v>0.1</v>
      </c>
      <c r="N52">
        <v>5</v>
      </c>
      <c r="O52">
        <v>12</v>
      </c>
      <c r="P52" t="str">
        <v>N/A</v>
      </c>
      <c r="Q52" t="str">
        <v>Damage</v>
      </c>
      <c r="R52" t="str">
        <v>N/A</v>
      </c>
      <c r="S52" t="str">
        <v>Poison</v>
      </c>
      <c r="T52">
        <v>110</v>
      </c>
      <c r="U52">
        <v>0.75</v>
      </c>
      <c r="V52">
        <v>2</v>
      </c>
      <c r="X52" t="str">
        <f>IFERROR(__xludf.DUMMYFUNCTION("""COMPUTED_VALUE"""),"")</f>
        <v/>
      </c>
      <c r="Y52" t="str">
        <v>The Goblins Cave Crate</v>
      </c>
    </row>
    <row r="53">
      <c r="A53" t="str">
        <v>GoblinTank</v>
      </c>
      <c r="B53" t="str">
        <v>N/A</v>
      </c>
      <c r="C53" t="str">
        <v>Goblin Tank</v>
      </c>
      <c r="D53" t="str">
        <v>https://raw.githubusercontent.com/BlackDragon2435/UnitsBGWiki/main/assets/GoblinTank_Rare.jpg</v>
      </c>
      <c r="E53" t="str">
        <v>Tank</v>
      </c>
      <c r="F53" t="str">
        <v>N/A</v>
      </c>
      <c r="G53" t="str">
        <v>N/A</v>
      </c>
      <c r="H53">
        <v>15</v>
      </c>
      <c r="I53">
        <v>0</v>
      </c>
      <c r="J53" t="str">
        <v>Rare</v>
      </c>
      <c r="K53">
        <f>IF(H53&gt;0, H53/U53, "N/A")</f>
        <v>8.333333333</v>
      </c>
      <c r="L53" t="str">
        <v>N/A</v>
      </c>
      <c r="M53" t="str">
        <v>N/A</v>
      </c>
      <c r="N53">
        <v>5</v>
      </c>
      <c r="O53" t="str">
        <v>N/A</v>
      </c>
      <c r="P53" t="str">
        <v>N/A</v>
      </c>
      <c r="Q53" t="str">
        <v>N/A</v>
      </c>
      <c r="R53" t="str">
        <v>N/A</v>
      </c>
      <c r="S53" t="str">
        <v>N/A</v>
      </c>
      <c r="T53">
        <v>180</v>
      </c>
      <c r="U53">
        <v>1.8</v>
      </c>
      <c r="V53" t="str">
        <v>N/A</v>
      </c>
      <c r="X53" t="str">
        <f>IFERROR(__xludf.DUMMYFUNCTION("""COMPUTED_VALUE"""),"")</f>
        <v/>
      </c>
      <c r="Y53" t="str">
        <v>Epic box, Legendary box, Mythic box</v>
      </c>
    </row>
    <row r="54">
      <c r="A54" t="str">
        <v>SojutsuMaster</v>
      </c>
      <c r="B54" t="str">
        <v>N/A</v>
      </c>
      <c r="C54" t="str">
        <v>Sojutsu Master</v>
      </c>
      <c r="D54" t="str">
        <v>https://placehold.co/60x60/cccccc/333333?text=SM</v>
      </c>
      <c r="E54" t="str">
        <v>Warrior</v>
      </c>
      <c r="F54" t="str">
        <v>N/A</v>
      </c>
      <c r="G54" t="str">
        <v>N/A</v>
      </c>
      <c r="H54">
        <v>26</v>
      </c>
      <c r="I54">
        <v>0</v>
      </c>
      <c r="J54" t="str">
        <v>Epic</v>
      </c>
      <c r="K54">
        <f>IF(H54&gt;0, H54/U54, "N/A")</f>
        <v>8.666666667</v>
      </c>
      <c r="L54" t="str">
        <v>N/A</v>
      </c>
      <c r="M54" t="str">
        <v>N/A</v>
      </c>
      <c r="N54">
        <v>12</v>
      </c>
      <c r="O54" t="str">
        <v>N/A</v>
      </c>
      <c r="P54" t="str">
        <v>N/A</v>
      </c>
      <c r="Q54" t="str">
        <v>N/A</v>
      </c>
      <c r="R54" t="str">
        <v>N/A</v>
      </c>
      <c r="S54" t="str">
        <v>N/A</v>
      </c>
      <c r="T54">
        <v>190</v>
      </c>
      <c r="U54">
        <v>3</v>
      </c>
      <c r="V54" t="str">
        <v>N/A</v>
      </c>
      <c r="X54" t="str">
        <f>IFERROR(__xludf.DUMMYFUNCTION("""COMPUTED_VALUE"""),"")</f>
        <v/>
      </c>
      <c r="Y54" t="str">
        <v>Not in a provided crate</v>
      </c>
    </row>
    <row r="55">
      <c r="A55" t="str">
        <v>GoblinKing</v>
      </c>
      <c r="B55" t="str">
        <v>N/A</v>
      </c>
      <c r="C55" t="str">
        <v>Goblin King(BossUnit)</v>
      </c>
      <c r="D55" t="str">
        <v>https://raw.githubusercontent.com/BlackDragon2435/UnitsBGWiki/main/assets/GoblinKing_Legendary.jpg</v>
      </c>
      <c r="E55" t="str">
        <v>Warrior</v>
      </c>
      <c r="F55" t="str">
        <v>N/A</v>
      </c>
      <c r="G55" t="str">
        <v>Fire</v>
      </c>
      <c r="H55">
        <v>70</v>
      </c>
      <c r="I55">
        <v>50</v>
      </c>
      <c r="J55" t="str">
        <v>Legendary</v>
      </c>
      <c r="K55">
        <f>IF(H55&gt;0, H55/U55, "N/A")</f>
        <v>23.33333333</v>
      </c>
      <c r="L55" t="str">
        <v>N/A</v>
      </c>
      <c r="M55" t="str">
        <v>N/A</v>
      </c>
      <c r="N55">
        <v>15</v>
      </c>
      <c r="O55" t="str">
        <v>N/A</v>
      </c>
      <c r="P55" t="str">
        <v>N/A</v>
      </c>
      <c r="Q55" t="str">
        <v>Damage</v>
      </c>
      <c r="R55" t="str">
        <v>N/A</v>
      </c>
      <c r="S55" t="str">
        <v>Burn</v>
      </c>
      <c r="T55">
        <v>800</v>
      </c>
      <c r="U55">
        <v>3</v>
      </c>
      <c r="V55" t="str">
        <v>N/A</v>
      </c>
      <c r="X55" t="str">
        <f>IFERROR(__xludf.DUMMYFUNCTION("""COMPUTED_VALUE"""),"F")</f>
        <v>F</v>
      </c>
      <c r="Y55" t="str">
        <v>Beginner box #1, Beginner box #2</v>
      </c>
    </row>
    <row r="56">
      <c r="A56" t="str">
        <v>PeasantArcher</v>
      </c>
      <c r="B56" t="str">
        <v>N/A</v>
      </c>
      <c r="C56" t="str">
        <v>Peasant Archer</v>
      </c>
      <c r="D56" t="str">
        <v>https://raw.githubusercontent.com/BlackDragon2435/UnitsBGWiki/main/assets/PeasantArcher_Uncommon.jpg</v>
      </c>
      <c r="E56" t="str">
        <v>Ranger</v>
      </c>
      <c r="F56" t="str">
        <v>N/A</v>
      </c>
      <c r="G56" t="str">
        <v>N/A</v>
      </c>
      <c r="H56">
        <v>10</v>
      </c>
      <c r="I56">
        <v>0</v>
      </c>
      <c r="J56" t="str">
        <v>Uncommon</v>
      </c>
      <c r="K56">
        <f>IF(H56&gt;0, H56/U56, "N/A")</f>
        <v>7.142857143</v>
      </c>
      <c r="L56" t="str">
        <v>N/A</v>
      </c>
      <c r="M56" t="str">
        <v>N/A</v>
      </c>
      <c r="N56">
        <v>30</v>
      </c>
      <c r="O56" t="str">
        <v>N/A</v>
      </c>
      <c r="P56" t="str">
        <v>N/A</v>
      </c>
      <c r="Q56" t="str">
        <v>N/A</v>
      </c>
      <c r="R56" t="str">
        <v>N/A</v>
      </c>
      <c r="S56" t="str">
        <v>N/A</v>
      </c>
      <c r="T56">
        <v>80</v>
      </c>
      <c r="U56">
        <v>1.4</v>
      </c>
      <c r="V56" t="str">
        <v>N/A</v>
      </c>
      <c r="X56" t="str">
        <f>IFERROR(__xludf.DUMMYFUNCTION("""COMPUTED_VALUE"""),"")</f>
        <v/>
      </c>
      <c r="Y56" t="str">
        <v>Crystal crate #3, Crystal crate #2</v>
      </c>
    </row>
    <row r="57">
      <c r="A57" t="str">
        <v>NoobShaman</v>
      </c>
      <c r="B57" t="str">
        <v>N/A</v>
      </c>
      <c r="C57" t="str">
        <v>Noob Shaman</v>
      </c>
      <c r="D57" t="str">
        <v>https://raw.githubusercontent.com/BlackDragon2435/UnitsBGWiki/main/assets/NoobShaman_Rare.jpg</v>
      </c>
      <c r="E57" t="str">
        <v>Summoner</v>
      </c>
      <c r="F57" t="str">
        <v>N/A</v>
      </c>
      <c r="G57" t="str">
        <v>N/A</v>
      </c>
      <c r="H57">
        <v>0</v>
      </c>
      <c r="I57">
        <v>0</v>
      </c>
      <c r="J57" t="str">
        <v>Rare</v>
      </c>
      <c r="K57" t="str">
        <f>IF(H57&gt;0, H57/U57, "N/A")</f>
        <v>N/A</v>
      </c>
      <c r="L57" t="str">
        <v>N/A</v>
      </c>
      <c r="M57" t="str">
        <v>N/A</v>
      </c>
      <c r="N57">
        <v>10</v>
      </c>
      <c r="O57" t="str">
        <v>N/A</v>
      </c>
      <c r="P57" t="str">
        <v>N/A</v>
      </c>
      <c r="Q57" t="str">
        <v>N/A</v>
      </c>
      <c r="R57" t="str">
        <v>N/A</v>
      </c>
      <c r="S57" t="str">
        <v>N/A</v>
      </c>
      <c r="T57">
        <v>90</v>
      </c>
      <c r="U57">
        <v>4</v>
      </c>
      <c r="V57" t="str">
        <v>N/A</v>
      </c>
      <c r="X57" t="str">
        <f>IFERROR(__xludf.DUMMYFUNCTION("""COMPUTED_VALUE"""),"")</f>
        <v/>
      </c>
      <c r="Y57" t="str">
        <v>The Goblins Cave Crate</v>
      </c>
    </row>
    <row r="58">
      <c r="A58" t="str">
        <v>BabyGoblinWarrior</v>
      </c>
      <c r="B58" t="str">
        <v>N/A</v>
      </c>
      <c r="C58" t="str">
        <v>Baby Warrior</v>
      </c>
      <c r="D58" t="str">
        <v>https://placehold.co/60x60/cccccc/333333?text=BGW</v>
      </c>
      <c r="E58" t="str">
        <v>Warrior</v>
      </c>
      <c r="F58" t="str">
        <v>N/A</v>
      </c>
      <c r="G58" t="str">
        <v>N/A</v>
      </c>
      <c r="H58">
        <v>5</v>
      </c>
      <c r="I58">
        <v>0</v>
      </c>
      <c r="J58" t="str">
        <v>Common</v>
      </c>
      <c r="K58">
        <f>IF(H58&gt;0, H58/U58, "N/A")</f>
        <v>5</v>
      </c>
      <c r="L58" t="str">
        <v>N/A</v>
      </c>
      <c r="M58" t="str">
        <v>N/A</v>
      </c>
      <c r="N58">
        <v>5</v>
      </c>
      <c r="O58" t="str">
        <v>N/A</v>
      </c>
      <c r="P58" t="str">
        <v>N/A</v>
      </c>
      <c r="Q58" t="str">
        <v>N/A</v>
      </c>
      <c r="R58" t="str">
        <v>N/A</v>
      </c>
      <c r="S58" t="str">
        <v>N/A</v>
      </c>
      <c r="T58">
        <v>40</v>
      </c>
      <c r="U58">
        <v>1</v>
      </c>
      <c r="V58" t="str">
        <v>N/A</v>
      </c>
      <c r="X58" t="str">
        <f>IFERROR(__xludf.DUMMYFUNCTION("""COMPUTED_VALUE"""),"")</f>
        <v/>
      </c>
      <c r="Y58" t="str">
        <v>The Graveyard Crate</v>
      </c>
    </row>
    <row r="59">
      <c r="A59" t="str">
        <v>SkeletonMage</v>
      </c>
      <c r="B59" t="str">
        <v>N/A</v>
      </c>
      <c r="C59" t="str">
        <v>Skeleton Mage</v>
      </c>
      <c r="D59" t="str">
        <v>https://raw.githubusercontent.com/BlackDragon2435/UnitsBGWiki/main/assets/SkeletonMage_Rare.jpg</v>
      </c>
      <c r="E59" t="str">
        <v>Wizard</v>
      </c>
      <c r="F59" t="str">
        <v>N/A</v>
      </c>
      <c r="G59" t="str">
        <v>Frost</v>
      </c>
      <c r="H59">
        <v>12</v>
      </c>
      <c r="I59">
        <v>0</v>
      </c>
      <c r="J59" t="str">
        <v>Rare</v>
      </c>
      <c r="K59">
        <f>IF(H59&gt;0, H59/U59, "N/A")</f>
        <v>12</v>
      </c>
      <c r="L59" t="str">
        <v>N/A</v>
      </c>
      <c r="M59" t="str">
        <v>N/A</v>
      </c>
      <c r="N59">
        <v>30</v>
      </c>
      <c r="O59" t="str">
        <v>N/A</v>
      </c>
      <c r="P59" t="str">
        <v>N/A</v>
      </c>
      <c r="Q59" t="str">
        <v>Slow</v>
      </c>
      <c r="R59" t="str">
        <v>N/A</v>
      </c>
      <c r="S59" t="str">
        <v>Slow</v>
      </c>
      <c r="T59">
        <v>120</v>
      </c>
      <c r="U59">
        <v>1</v>
      </c>
      <c r="V59" t="str">
        <v>N/A</v>
      </c>
      <c r="X59" t="str">
        <f>IFERROR(__xludf.DUMMYFUNCTION("""COMPUTED_VALUE"""),"")</f>
        <v/>
      </c>
      <c r="Y59" t="str">
        <v>Crystal crate #3, Crystal crate #2, Crystal crate #1, Crystal crate #4</v>
      </c>
    </row>
    <row r="60">
      <c r="A60" t="str">
        <v>Commander</v>
      </c>
      <c r="B60" t="str">
        <v>N/A</v>
      </c>
      <c r="C60" t="str">
        <v>Commander</v>
      </c>
      <c r="D60" t="str">
        <v>https://raw.githubusercontent.com/BlackDragon2435/UnitsBGWiki/main/assets/Commander_Demonic.jpg</v>
      </c>
      <c r="E60" t="str">
        <v>Support</v>
      </c>
      <c r="F60" t="str">
        <v>N/A</v>
      </c>
      <c r="G60" t="str">
        <v>UpDamage</v>
      </c>
      <c r="H60">
        <v>30</v>
      </c>
      <c r="I60">
        <v>0</v>
      </c>
      <c r="J60" t="str">
        <v>Demonic</v>
      </c>
      <c r="K60">
        <f>IF(H60&gt;0, H60/U60, "N/A")</f>
        <v>21.42857143</v>
      </c>
      <c r="L60" t="str">
        <v>N/A</v>
      </c>
      <c r="M60" t="str">
        <v>N/A</v>
      </c>
      <c r="N60">
        <v>70</v>
      </c>
      <c r="O60" t="str">
        <v>N/A</v>
      </c>
      <c r="P60" t="str">
        <v>N/A</v>
      </c>
      <c r="Q60" t="str">
        <v>UpDamage</v>
      </c>
      <c r="R60" t="str">
        <v>N/A</v>
      </c>
      <c r="S60" t="str">
        <v>Demon</v>
      </c>
      <c r="T60">
        <v>200</v>
      </c>
      <c r="U60">
        <v>1.4</v>
      </c>
      <c r="V60" t="str">
        <v>N/A</v>
      </c>
      <c r="X60" t="str">
        <f>IFERROR(__xludf.DUMMYFUNCTION("""COMPUTED_VALUE"""),"A")</f>
        <v>A</v>
      </c>
      <c r="Y60" t="str">
        <v>The Elven Forest Crate</v>
      </c>
    </row>
    <row r="61">
      <c r="A61" t="str">
        <v>ElvenSniper</v>
      </c>
      <c r="B61" t="str">
        <v>N/A</v>
      </c>
      <c r="C61" t="str">
        <v>Elven Sniper</v>
      </c>
      <c r="D61" t="str">
        <v>https://raw.githubusercontent.com/BlackDragon2435/UnitsBGWiki/main/assets/ElvenSniper_Legendary.jpg</v>
      </c>
      <c r="E61" t="str">
        <v>Ranger</v>
      </c>
      <c r="F61" t="str">
        <v>N/A</v>
      </c>
      <c r="G61" t="str">
        <v>N/A</v>
      </c>
      <c r="H61">
        <v>40</v>
      </c>
      <c r="I61">
        <v>0</v>
      </c>
      <c r="J61" t="str">
        <v>Legendary</v>
      </c>
      <c r="K61">
        <f>IF(H61&gt;0, H61/U61, "N/A")</f>
        <v>33.33333333</v>
      </c>
      <c r="L61" t="str">
        <v>N/A</v>
      </c>
      <c r="M61" t="str">
        <v>N/A</v>
      </c>
      <c r="N61">
        <v>45</v>
      </c>
      <c r="O61" t="str">
        <v>N/A</v>
      </c>
      <c r="P61" t="str">
        <v>N/A</v>
      </c>
      <c r="Q61" t="str">
        <v>N/A</v>
      </c>
      <c r="R61" t="str">
        <v>N/A</v>
      </c>
      <c r="S61" t="str">
        <v>N/A</v>
      </c>
      <c r="T61">
        <v>70</v>
      </c>
      <c r="U61">
        <v>1.2</v>
      </c>
      <c r="V61" t="str">
        <v>N/A</v>
      </c>
      <c r="X61" t="str">
        <f>IFERROR(__xludf.DUMMYFUNCTION("""COMPUTED_VALUE"""),"")</f>
        <v/>
      </c>
      <c r="Y61" t="str">
        <v>Not in a provided crate</v>
      </c>
    </row>
    <row r="62">
      <c r="A62" t="str">
        <v>ChristmasElfWizard</v>
      </c>
      <c r="B62" t="str">
        <v>N/A</v>
      </c>
      <c r="C62" t="str">
        <v>Christmas Elf Wizard</v>
      </c>
      <c r="D62" t="str">
        <v>https://placehold.co/60x60/cccccc/333333?text=CEW</v>
      </c>
      <c r="E62" t="str">
        <v>Wizard</v>
      </c>
      <c r="F62" t="str">
        <v>N/A</v>
      </c>
      <c r="G62" t="str">
        <v>Weak</v>
      </c>
      <c r="H62">
        <v>10</v>
      </c>
      <c r="I62">
        <v>0</v>
      </c>
      <c r="J62" t="str">
        <v>Legendary</v>
      </c>
      <c r="K62">
        <f>IF(H62&gt;0, H62/U62, "N/A")</f>
        <v>5</v>
      </c>
      <c r="L62" t="str">
        <v>N/A</v>
      </c>
      <c r="M62" t="str">
        <v>N/A</v>
      </c>
      <c r="N62">
        <v>30</v>
      </c>
      <c r="O62" t="str">
        <v>N/A</v>
      </c>
      <c r="P62" t="str">
        <v>N/A</v>
      </c>
      <c r="Q62" t="str">
        <v>Weak</v>
      </c>
      <c r="R62" t="str">
        <v>N/A</v>
      </c>
      <c r="S62" t="str">
        <v>Weak</v>
      </c>
      <c r="T62">
        <v>100</v>
      </c>
      <c r="U62">
        <v>2</v>
      </c>
      <c r="V62" t="str">
        <v>N/A</v>
      </c>
      <c r="X62" t="str">
        <f>IFERROR(__xludf.DUMMYFUNCTION("""COMPUTED_VALUE"""),"")</f>
        <v/>
      </c>
      <c r="Y62" t="str">
        <v>Not in a provided crate</v>
      </c>
    </row>
    <row r="63">
      <c r="A63" t="str">
        <v>Krampus</v>
      </c>
      <c r="B63">
        <v>0.02</v>
      </c>
      <c r="C63" t="str">
        <v>Krampus</v>
      </c>
      <c r="D63" t="str">
        <v>https://raw.githubusercontent.com/BlackDragon2435/UnitsBGWiki/main/assets/Krampus_Demonic.jpg</v>
      </c>
      <c r="E63" t="str">
        <v>Warrior</v>
      </c>
      <c r="F63" t="str">
        <v>N/A</v>
      </c>
      <c r="G63" t="str">
        <v>Lifesteal</v>
      </c>
      <c r="H63">
        <v>105</v>
      </c>
      <c r="I63">
        <v>10</v>
      </c>
      <c r="J63" t="str">
        <v>Demonic</v>
      </c>
      <c r="K63">
        <f>IF(H63&gt;0, H63/U63, "N/A")</f>
        <v>55.26315789</v>
      </c>
      <c r="L63" t="str">
        <v>N/A</v>
      </c>
      <c r="M63">
        <v>0.04</v>
      </c>
      <c r="N63">
        <v>5</v>
      </c>
      <c r="O63" t="str">
        <v>N/A</v>
      </c>
      <c r="P63">
        <v>1.5</v>
      </c>
      <c r="Q63" t="str">
        <v>Lifesteal</v>
      </c>
      <c r="R63">
        <v>10</v>
      </c>
      <c r="S63" t="str">
        <v>Lifesteal</v>
      </c>
      <c r="T63">
        <v>1000</v>
      </c>
      <c r="U63">
        <v>1.9</v>
      </c>
      <c r="V63" t="str">
        <v>N/A</v>
      </c>
      <c r="X63" t="str">
        <f>IFERROR(__xludf.DUMMYFUNCTION("""COMPUTED_VALUE"""),"B")</f>
        <v>B</v>
      </c>
      <c r="Y63" t="str">
        <v>The Wizard Tower Crate</v>
      </c>
    </row>
    <row r="64">
      <c r="A64" t="str">
        <v>TheIceQueenSmall</v>
      </c>
      <c r="B64" t="str">
        <v>N/A</v>
      </c>
      <c r="C64" t="str">
        <v>The Ice Queen(Normal)</v>
      </c>
      <c r="D64" t="str">
        <v>https://raw.githubusercontent.com/BlackDragon2435/UnitsBGWiki/main/assets/TheIceQueenSmall_Mythic.jpg</v>
      </c>
      <c r="E64" t="str">
        <v>Wizard</v>
      </c>
      <c r="F64" t="str">
        <v>N/A</v>
      </c>
      <c r="G64" t="str">
        <v>Frost</v>
      </c>
      <c r="H64">
        <v>45</v>
      </c>
      <c r="I64" t="str">
        <v>N/A</v>
      </c>
      <c r="J64" t="str">
        <v>Mythic</v>
      </c>
      <c r="K64">
        <f>IF(H64&gt;0, H64/U64, "N/A")</f>
        <v>25.71428571</v>
      </c>
      <c r="L64" t="str">
        <v>N/A</v>
      </c>
      <c r="M64" t="str">
        <v>N/A</v>
      </c>
      <c r="N64">
        <v>40</v>
      </c>
      <c r="O64" t="str">
        <v>N/A</v>
      </c>
      <c r="P64" t="str">
        <v>N/A</v>
      </c>
      <c r="Q64" t="str">
        <v>Slow</v>
      </c>
      <c r="R64" t="str">
        <v>N/A</v>
      </c>
      <c r="S64" t="str">
        <v>SlowBoss</v>
      </c>
      <c r="T64">
        <v>300</v>
      </c>
      <c r="U64">
        <v>1.75</v>
      </c>
      <c r="V64" t="str">
        <v>N/A</v>
      </c>
      <c r="X64" t="str">
        <f>IFERROR(__xludf.DUMMYFUNCTION("""COMPUTED_VALUE"""),"C")</f>
        <v>C</v>
      </c>
      <c r="Y64" t="str">
        <v>The Crimson Nest Crate</v>
      </c>
    </row>
    <row r="65">
      <c r="A65" t="str">
        <v>SmallBlackDragon</v>
      </c>
      <c r="B65" t="str">
        <v>N/A</v>
      </c>
      <c r="C65" t="str">
        <v>Black Dragon(Normal)</v>
      </c>
      <c r="D65" t="str">
        <v>https://raw.githubusercontent.com/BlackDragon2435/UnitsBGWiki/main/assets/SmallBlackDragon_Ancient.jpg</v>
      </c>
      <c r="E65" t="str">
        <v>Warrior</v>
      </c>
      <c r="F65" t="str">
        <v>N/A</v>
      </c>
      <c r="G65" t="str">
        <v>Lifesteal</v>
      </c>
      <c r="H65">
        <v>140</v>
      </c>
      <c r="I65">
        <v>10</v>
      </c>
      <c r="J65" t="str">
        <v>Ancient</v>
      </c>
      <c r="K65">
        <f>IF(H65&gt;0, H65/U65, "N/A")</f>
        <v>70</v>
      </c>
      <c r="L65" t="str">
        <v>N/A</v>
      </c>
      <c r="M65">
        <v>0.04</v>
      </c>
      <c r="N65">
        <v>5</v>
      </c>
      <c r="O65" t="str">
        <v>N/A</v>
      </c>
      <c r="P65" t="str">
        <v>N/A</v>
      </c>
      <c r="Q65" t="str">
        <v>Lifesteal</v>
      </c>
      <c r="R65">
        <v>10</v>
      </c>
      <c r="S65" t="str">
        <v>Lifesteal</v>
      </c>
      <c r="T65">
        <v>1300</v>
      </c>
      <c r="U65">
        <v>2</v>
      </c>
      <c r="V65" t="str">
        <v>N/A</v>
      </c>
      <c r="X65" t="str">
        <f>IFERROR(__xludf.DUMMYFUNCTION("""COMPUTED_VALUE"""),"S")</f>
        <v>S</v>
      </c>
      <c r="Y65" t="str">
        <v>The Wizard Tower Crate</v>
      </c>
    </row>
    <row r="66">
      <c r="A66" t="str">
        <v>BloodMage</v>
      </c>
      <c r="B66" t="str">
        <v>N/A</v>
      </c>
      <c r="C66" t="str">
        <v>Blood Mage</v>
      </c>
      <c r="D66" t="str">
        <v>https://placehold.co/60x60/cccccc/333333?text=BM</v>
      </c>
      <c r="E66" t="str">
        <v>Tank</v>
      </c>
      <c r="F66" t="str">
        <v>N/A</v>
      </c>
      <c r="G66" t="str">
        <v>Lifesteal</v>
      </c>
      <c r="H66">
        <v>18</v>
      </c>
      <c r="I66">
        <v>0</v>
      </c>
      <c r="J66" t="str">
        <v>Legendary</v>
      </c>
      <c r="K66">
        <f>IF(H66&gt;0, H66/U66, "N/A")</f>
        <v>18</v>
      </c>
      <c r="L66" t="str">
        <v>N/A</v>
      </c>
      <c r="M66" t="str">
        <v>N/A</v>
      </c>
      <c r="N66">
        <v>25</v>
      </c>
      <c r="O66" t="str">
        <v>N/A</v>
      </c>
      <c r="P66" t="str">
        <v>N/A</v>
      </c>
      <c r="Q66" t="str">
        <v>Lifesteal</v>
      </c>
      <c r="R66">
        <v>35</v>
      </c>
      <c r="S66" t="str">
        <v>Lifesteal</v>
      </c>
      <c r="T66">
        <v>800</v>
      </c>
      <c r="U66">
        <v>1</v>
      </c>
      <c r="V66" t="str">
        <v>N/A</v>
      </c>
      <c r="X66" t="str">
        <f>IFERROR(__xludf.DUMMYFUNCTION("""COMPUTED_VALUE"""),"")</f>
        <v/>
      </c>
      <c r="Y66" t="str">
        <v>Crystal crate #1</v>
      </c>
    </row>
    <row r="67">
      <c r="A67" t="str">
        <v>Bard</v>
      </c>
      <c r="B67" t="str">
        <v>N/A</v>
      </c>
      <c r="C67" t="str">
        <v>Bard</v>
      </c>
      <c r="D67" t="str">
        <v>https://placehold.co/60x60/cccccc/333333?text=B</v>
      </c>
      <c r="E67" t="str">
        <v>Support</v>
      </c>
      <c r="F67" t="str">
        <v>N/A</v>
      </c>
      <c r="G67" t="str">
        <v>Bard</v>
      </c>
      <c r="H67">
        <v>20</v>
      </c>
      <c r="I67">
        <v>0</v>
      </c>
      <c r="J67" t="str">
        <v>Mythic</v>
      </c>
      <c r="K67">
        <f>IF(H67&gt;0, H67/U67, "N/A")</f>
        <v>3.333333333</v>
      </c>
      <c r="L67" t="str">
        <v>N/A</v>
      </c>
      <c r="M67" t="str">
        <v>N/A</v>
      </c>
      <c r="N67">
        <v>70</v>
      </c>
      <c r="O67" t="str">
        <v>N/A</v>
      </c>
      <c r="P67" t="str">
        <v>N/A</v>
      </c>
      <c r="Q67" t="str">
        <v>Bard</v>
      </c>
      <c r="R67" t="str">
        <v>N/A</v>
      </c>
      <c r="S67" t="str">
        <v>Bard</v>
      </c>
      <c r="T67">
        <v>110</v>
      </c>
      <c r="U67">
        <v>6</v>
      </c>
      <c r="V67" t="str">
        <v>N/A</v>
      </c>
      <c r="X67" t="str">
        <f>IFERROR(__xludf.DUMMYFUNCTION("""COMPUTED_VALUE"""),"C")</f>
        <v>C</v>
      </c>
      <c r="Y67" t="str">
        <v>Not in a provided crate</v>
      </c>
    </row>
    <row r="68">
      <c r="A68" t="str">
        <v>CandyCane</v>
      </c>
      <c r="B68">
        <v>0.06</v>
      </c>
      <c r="C68" t="str">
        <v>Candy Cane Shooter</v>
      </c>
      <c r="D68" t="str">
        <v>https://raw.githubusercontent.com/BlackDragon2435/UnitsBGWiki/main/assets/CandyCane_Mythic.jpg</v>
      </c>
      <c r="E68" t="str">
        <v>Ranger</v>
      </c>
      <c r="F68" t="str">
        <v>N/A</v>
      </c>
      <c r="G68" t="str">
        <v>N/A</v>
      </c>
      <c r="H68">
        <v>65</v>
      </c>
      <c r="I68">
        <v>0</v>
      </c>
      <c r="J68" t="str">
        <v>Mythic</v>
      </c>
      <c r="K68">
        <f>IF(H68&gt;0, H68/U68, "N/A")</f>
        <v>28.88888889</v>
      </c>
      <c r="L68" t="str">
        <v>N/A</v>
      </c>
      <c r="M68">
        <v>0.06</v>
      </c>
      <c r="N68">
        <v>45</v>
      </c>
      <c r="O68" t="str">
        <v>N/A</v>
      </c>
      <c r="P68">
        <v>1.75</v>
      </c>
      <c r="Q68" t="str">
        <v>N/A</v>
      </c>
      <c r="R68" t="str">
        <v>N/A</v>
      </c>
      <c r="S68" t="str">
        <v>N/A</v>
      </c>
      <c r="T68">
        <v>120</v>
      </c>
      <c r="U68">
        <v>2.25</v>
      </c>
      <c r="V68" t="str">
        <v>N/A</v>
      </c>
      <c r="X68" t="str">
        <f>IFERROR(__xludf.DUMMYFUNCTION("""COMPUTED_VALUE"""),"")</f>
        <v/>
      </c>
      <c r="Y68" t="str">
        <v>The Pirate Bay Crate</v>
      </c>
    </row>
    <row r="69">
      <c r="A69" t="str">
        <v>PirateShooter</v>
      </c>
      <c r="B69" t="str">
        <v>N/A</v>
      </c>
      <c r="C69" t="str">
        <v>Pirate Shooter</v>
      </c>
      <c r="D69" t="str">
        <v>https://raw.githubusercontent.com/BlackDragon2435/UnitsBGWiki/main/assets/PirateShooter_Rare.jpg</v>
      </c>
      <c r="E69" t="str">
        <v>Ranger</v>
      </c>
      <c r="F69" t="str">
        <v>N/A</v>
      </c>
      <c r="G69" t="str">
        <v>N/A</v>
      </c>
      <c r="H69">
        <v>35</v>
      </c>
      <c r="I69">
        <v>0</v>
      </c>
      <c r="J69" t="str">
        <v>Rare</v>
      </c>
      <c r="K69">
        <f>IF(H69&gt;0, H69/U69, "N/A")</f>
        <v>20</v>
      </c>
      <c r="L69" t="str">
        <v>N/A</v>
      </c>
      <c r="M69" t="str">
        <v>N/A</v>
      </c>
      <c r="N69">
        <v>35</v>
      </c>
      <c r="O69" t="str">
        <v>N/A</v>
      </c>
      <c r="P69" t="str">
        <v>N/A</v>
      </c>
      <c r="Q69" t="str">
        <v>N/A</v>
      </c>
      <c r="R69" t="str">
        <v>N/A</v>
      </c>
      <c r="S69" t="str">
        <v>N/A</v>
      </c>
      <c r="T69">
        <v>90</v>
      </c>
      <c r="U69">
        <v>1.75</v>
      </c>
      <c r="V69" t="str">
        <v>N/A</v>
      </c>
      <c r="X69" t="str">
        <f>IFERROR(__xludf.DUMMYFUNCTION("""COMPUTED_VALUE"""),"")</f>
        <v/>
      </c>
      <c r="Y69" t="str">
        <v>The Pirate Bay Crate</v>
      </c>
    </row>
    <row r="70">
      <c r="A70" t="str">
        <v>Boatswain</v>
      </c>
      <c r="B70" t="str">
        <v>N/A</v>
      </c>
      <c r="C70" t="str">
        <v>Boatswain</v>
      </c>
      <c r="D70" t="str">
        <v>https://raw.githubusercontent.com/BlackDragon2435/UnitsBGWiki/main/assets/Boatswain_Epic.jpg</v>
      </c>
      <c r="E70" t="str">
        <v>Tank</v>
      </c>
      <c r="F70" t="str">
        <v>N/A</v>
      </c>
      <c r="G70" t="str">
        <v>N/A</v>
      </c>
      <c r="H70">
        <v>30</v>
      </c>
      <c r="I70">
        <v>0</v>
      </c>
      <c r="J70" t="str">
        <v>Epic</v>
      </c>
      <c r="K70">
        <f>IF(H70&gt;0, H70/U70, "N/A")</f>
        <v>20</v>
      </c>
      <c r="L70" t="str">
        <v>N/A</v>
      </c>
      <c r="M70" t="str">
        <v>N/A</v>
      </c>
      <c r="N70">
        <v>6</v>
      </c>
      <c r="O70" t="str">
        <v>N/A</v>
      </c>
      <c r="P70" t="str">
        <v>N/A</v>
      </c>
      <c r="Q70" t="str">
        <v>N/A</v>
      </c>
      <c r="R70" t="str">
        <v>N/A</v>
      </c>
      <c r="S70" t="str">
        <v>N/A</v>
      </c>
      <c r="T70">
        <v>300</v>
      </c>
      <c r="U70">
        <v>1.5</v>
      </c>
      <c r="V70" t="str">
        <v>N/A</v>
      </c>
      <c r="X70" t="str">
        <f>IFERROR(__xludf.DUMMYFUNCTION("""COMPUTED_VALUE"""),"")</f>
        <v/>
      </c>
      <c r="Y70" t="str">
        <v>The Pirate Bay Crate</v>
      </c>
    </row>
    <row r="71">
      <c r="A71" t="str">
        <v>PirateSailor</v>
      </c>
      <c r="B71" t="str">
        <v>N/A</v>
      </c>
      <c r="C71" t="str">
        <v>Pirate Sailor</v>
      </c>
      <c r="D71" t="str">
        <v>https://raw.githubusercontent.com/BlackDragon2435/UnitsBGWiki/main/assets/PirateSailor_Uncommon.jpg</v>
      </c>
      <c r="E71" t="str">
        <v>Warrior</v>
      </c>
      <c r="F71" t="str">
        <v>N/A</v>
      </c>
      <c r="G71" t="str">
        <v>N/A</v>
      </c>
      <c r="H71">
        <v>8</v>
      </c>
      <c r="I71">
        <v>0</v>
      </c>
      <c r="J71" t="str">
        <v>Uncommon</v>
      </c>
      <c r="K71">
        <f>IF(H71&gt;0, H71/U71, "N/A")</f>
        <v>8</v>
      </c>
      <c r="L71" t="str">
        <v>N/A</v>
      </c>
      <c r="M71" t="str">
        <v>N/A</v>
      </c>
      <c r="N71">
        <v>6</v>
      </c>
      <c r="O71" t="str">
        <v>N/A</v>
      </c>
      <c r="P71" t="str">
        <v>N/A</v>
      </c>
      <c r="Q71" t="str">
        <v>N/A</v>
      </c>
      <c r="R71" t="str">
        <v>N/A</v>
      </c>
      <c r="S71" t="str">
        <v>N/A</v>
      </c>
      <c r="T71">
        <v>80</v>
      </c>
      <c r="U71">
        <v>1</v>
      </c>
      <c r="V71" t="str">
        <v>N/A</v>
      </c>
      <c r="X71" t="str">
        <f>IFERROR(__xludf.DUMMYFUNCTION("""COMPUTED_VALUE"""),"")</f>
        <v/>
      </c>
      <c r="Y71" t="str">
        <v>Not in a provided crate</v>
      </c>
    </row>
    <row r="72">
      <c r="A72" t="str">
        <v>Vendigo</v>
      </c>
      <c r="B72">
        <v>0.36</v>
      </c>
      <c r="C72" t="str">
        <v>Vendigo</v>
      </c>
      <c r="D72" t="str">
        <v>https://raw.githubusercontent.com/BlackDragon2435/UnitsBGWiki/main/assets/Vendigo_Mythic.jpg</v>
      </c>
      <c r="E72" t="str">
        <v>Assassin</v>
      </c>
      <c r="F72" t="str">
        <v>N/A</v>
      </c>
      <c r="G72" t="str">
        <v>Lifesteal</v>
      </c>
      <c r="H72">
        <v>45</v>
      </c>
      <c r="I72">
        <v>0</v>
      </c>
      <c r="J72" t="str">
        <v>Mythic</v>
      </c>
      <c r="K72">
        <f>IF(H72&gt;0, H72/U72, "N/A")</f>
        <v>56.25</v>
      </c>
      <c r="L72" t="str">
        <v>N/A</v>
      </c>
      <c r="M72">
        <v>0.26</v>
      </c>
      <c r="N72">
        <v>6</v>
      </c>
      <c r="O72">
        <v>30</v>
      </c>
      <c r="P72">
        <v>2</v>
      </c>
      <c r="Q72" t="str">
        <v>Lifesteal</v>
      </c>
      <c r="R72">
        <v>25</v>
      </c>
      <c r="S72" t="str">
        <v>Lifesteal</v>
      </c>
      <c r="T72">
        <v>300</v>
      </c>
      <c r="U72">
        <v>0.8</v>
      </c>
      <c r="V72">
        <v>1</v>
      </c>
      <c r="X72" t="str">
        <f>IFERROR(__xludf.DUMMYFUNCTION("""COMPUTED_VALUE"""),"C")</f>
        <v>C</v>
      </c>
      <c r="Y72" t="str">
        <v>Not in a provided crate</v>
      </c>
    </row>
    <row r="73">
      <c r="A73" t="str">
        <v>SmallHeadlessKnight</v>
      </c>
      <c r="B73" t="str">
        <v>N/A</v>
      </c>
      <c r="C73" t="str">
        <v>Headless Knight(Normal)</v>
      </c>
      <c r="D73" t="str">
        <v>https://raw.githubusercontent.com/BlackDragon2435/UnitsBGWiki/main/assets/SmallHeadlessKnight_Mythic.jpg</v>
      </c>
      <c r="E73" t="str">
        <v>Warrior</v>
      </c>
      <c r="F73" t="str">
        <v>N/A</v>
      </c>
      <c r="G73" t="str">
        <v>N/A</v>
      </c>
      <c r="H73">
        <v>46</v>
      </c>
      <c r="I73">
        <v>0</v>
      </c>
      <c r="J73" t="str">
        <v>Mythic</v>
      </c>
      <c r="K73">
        <f>IF(H73&gt;0, H73/U73, "N/A")</f>
        <v>32.85714286</v>
      </c>
      <c r="L73" t="str">
        <v>N/A</v>
      </c>
      <c r="M73" t="str">
        <v>N/A</v>
      </c>
      <c r="N73">
        <v>5</v>
      </c>
      <c r="O73" t="str">
        <v>N/A</v>
      </c>
      <c r="P73" t="str">
        <v>N/A</v>
      </c>
      <c r="Q73" t="str">
        <v>N/A</v>
      </c>
      <c r="R73" t="str">
        <v>N/A</v>
      </c>
      <c r="S73" t="str">
        <v>N/A</v>
      </c>
      <c r="T73">
        <v>300</v>
      </c>
      <c r="U73">
        <v>1.4</v>
      </c>
      <c r="V73" t="str">
        <v>N/A</v>
      </c>
      <c r="X73" t="str">
        <f>IFERROR(__xludf.DUMMYFUNCTION("""COMPUTED_VALUE"""),"")</f>
        <v/>
      </c>
      <c r="Y73" t="str">
        <v>The Crimson Nest Crate</v>
      </c>
    </row>
    <row r="74">
      <c r="A74" t="str">
        <v>Trifang</v>
      </c>
      <c r="B74">
        <v>0.08</v>
      </c>
      <c r="C74" t="str">
        <v>Trifang</v>
      </c>
      <c r="D74" t="str">
        <v>https://raw.githubusercontent.com/BlackDragon2435/UnitsBGWiki/main/assets/Trifang_Mythic.jpg</v>
      </c>
      <c r="E74" t="str">
        <v>Ranger</v>
      </c>
      <c r="F74">
        <v>13</v>
      </c>
      <c r="G74" t="str">
        <v>Fire</v>
      </c>
      <c r="H74">
        <v>105</v>
      </c>
      <c r="I74">
        <v>0</v>
      </c>
      <c r="J74" t="str">
        <v>Mythic</v>
      </c>
      <c r="K74">
        <f>IF(H74&gt;0, H74/U74, "N/A")</f>
        <v>26.25</v>
      </c>
      <c r="L74">
        <v>100</v>
      </c>
      <c r="M74">
        <v>0.05</v>
      </c>
      <c r="N74">
        <v>50</v>
      </c>
      <c r="O74" t="str">
        <v>N/A</v>
      </c>
      <c r="P74">
        <v>15</v>
      </c>
      <c r="Q74" t="str">
        <v>Damage</v>
      </c>
      <c r="R74" t="str">
        <v>N/A</v>
      </c>
      <c r="S74" t="str">
        <v>Burn</v>
      </c>
      <c r="T74">
        <v>200</v>
      </c>
      <c r="U74">
        <v>4</v>
      </c>
      <c r="V74" t="str">
        <v>N/A</v>
      </c>
      <c r="X74" t="str">
        <f>IFERROR(__xludf.DUMMYFUNCTION("""COMPUTED_VALUE"""),"")</f>
        <v/>
      </c>
      <c r="Y74" t="str">
        <v>The Crimson Nest Crate</v>
      </c>
    </row>
    <row r="75">
      <c r="A75" t="str">
        <v>DragonDemon</v>
      </c>
      <c r="B75" t="str">
        <v>N/A</v>
      </c>
      <c r="C75" t="str">
        <v>Dragon Demon</v>
      </c>
      <c r="D75" t="str">
        <v>https://raw.githubusercontent.com/BlackDragon2435/UnitsBGWiki/main/assets/DragonDemon_Legendary.jpg</v>
      </c>
      <c r="E75" t="str">
        <v>Warrior</v>
      </c>
      <c r="F75" t="str">
        <v>N/A</v>
      </c>
      <c r="G75" t="str">
        <v>N/A</v>
      </c>
      <c r="H75">
        <v>65</v>
      </c>
      <c r="I75">
        <v>0</v>
      </c>
      <c r="J75" t="str">
        <v>Legendary</v>
      </c>
      <c r="K75">
        <f>IF(H75&gt;0, H75/U75, "N/A")</f>
        <v>39.39393939</v>
      </c>
      <c r="L75" t="str">
        <v>N/A</v>
      </c>
      <c r="M75" t="str">
        <v>N/A</v>
      </c>
      <c r="N75">
        <v>10</v>
      </c>
      <c r="O75" t="str">
        <v>N/A</v>
      </c>
      <c r="P75" t="str">
        <v>N/A</v>
      </c>
      <c r="Q75" t="str">
        <v>N/A</v>
      </c>
      <c r="R75" t="str">
        <v>N/A</v>
      </c>
      <c r="S75" t="str">
        <v>N/A</v>
      </c>
      <c r="T75">
        <v>350</v>
      </c>
      <c r="U75">
        <v>1.65</v>
      </c>
      <c r="V75" t="str">
        <v>N/A</v>
      </c>
      <c r="X75" t="str">
        <f>IFERROR(__xludf.DUMMYFUNCTION("""COMPUTED_VALUE"""),"")</f>
        <v/>
      </c>
      <c r="Y75" t="str">
        <v>Crystal crate #2, Crystal crate #4</v>
      </c>
    </row>
    <row r="76">
      <c r="A76" t="str">
        <v>CrimsonAssassin</v>
      </c>
      <c r="B76">
        <v>0.35</v>
      </c>
      <c r="C76" t="str">
        <v>Crimson Assassin</v>
      </c>
      <c r="D76" t="str">
        <v>https://raw.githubusercontent.com/BlackDragon2435/UnitsBGWiki/main/assets/CrimsonAssassin_Mythic.jpg</v>
      </c>
      <c r="E76" t="str">
        <v>Assassin</v>
      </c>
      <c r="F76" t="str">
        <v>N/A</v>
      </c>
      <c r="G76" t="str">
        <v>Lifesteal</v>
      </c>
      <c r="H76">
        <v>40</v>
      </c>
      <c r="I76">
        <v>0</v>
      </c>
      <c r="J76" t="str">
        <v>Mythic</v>
      </c>
      <c r="K76">
        <f>IF(H76&gt;0, H76/U76, "N/A")</f>
        <v>50</v>
      </c>
      <c r="L76" t="str">
        <v>N/A</v>
      </c>
      <c r="M76">
        <v>0.25</v>
      </c>
      <c r="N76">
        <v>6</v>
      </c>
      <c r="O76">
        <v>30</v>
      </c>
      <c r="P76" t="str">
        <v>N/A</v>
      </c>
      <c r="Q76" t="str">
        <v>Lifesteal</v>
      </c>
      <c r="R76">
        <v>20</v>
      </c>
      <c r="S76" t="str">
        <v>Lifesteal</v>
      </c>
      <c r="T76">
        <v>110</v>
      </c>
      <c r="U76">
        <v>0.8</v>
      </c>
      <c r="V76">
        <v>1</v>
      </c>
      <c r="X76" t="str">
        <f>IFERROR(__xludf.DUMMYFUNCTION("""COMPUTED_VALUE"""),"")</f>
        <v/>
      </c>
      <c r="Y76" t="str">
        <v>Crystal crate #1, Crystal crate #4, Mythic box</v>
      </c>
    </row>
    <row r="77">
      <c r="A77" t="str">
        <v>Viking</v>
      </c>
      <c r="B77" t="str">
        <v>N/A</v>
      </c>
      <c r="C77" t="str">
        <v>Viking</v>
      </c>
      <c r="D77" t="str">
        <v>https://placehold.co/60x60/cccccc/333333?text=V</v>
      </c>
      <c r="E77" t="str">
        <v>Warrior</v>
      </c>
      <c r="F77" t="str">
        <v>N/A</v>
      </c>
      <c r="G77" t="str">
        <v>N/A</v>
      </c>
      <c r="H77">
        <v>30</v>
      </c>
      <c r="I77">
        <v>0</v>
      </c>
      <c r="J77" t="str">
        <v>Epic</v>
      </c>
      <c r="K77">
        <f>IF(H77&gt;0, H77/U77, "N/A")</f>
        <v>18.75</v>
      </c>
      <c r="L77" t="str">
        <v>N/A</v>
      </c>
      <c r="M77" t="str">
        <v>N/A</v>
      </c>
      <c r="N77">
        <v>7</v>
      </c>
      <c r="O77" t="str">
        <v>N/A</v>
      </c>
      <c r="P77" t="str">
        <v>N/A</v>
      </c>
      <c r="Q77" t="str">
        <v>N/A</v>
      </c>
      <c r="R77" t="str">
        <v>N/A</v>
      </c>
      <c r="S77" t="str">
        <v>N/A</v>
      </c>
      <c r="T77">
        <v>280</v>
      </c>
      <c r="U77">
        <v>1.6</v>
      </c>
      <c r="V77" t="str">
        <v>N/A</v>
      </c>
      <c r="X77" t="str">
        <f>IFERROR(__xludf.DUMMYFUNCTION("""COMPUTED_VALUE"""),"")</f>
        <v/>
      </c>
      <c r="Y77" t="str">
        <v>Not in a provided crate</v>
      </c>
    </row>
    <row r="78">
      <c r="A78" t="str">
        <v>Torturer</v>
      </c>
      <c r="B78" t="str">
        <v>N/A</v>
      </c>
      <c r="C78" t="str">
        <v>Torturer</v>
      </c>
      <c r="D78" t="str">
        <v>https://raw.githubusercontent.com/BlackDragon2435/UnitsBGWiki/main/assets/Torturer_Mythic.jpg</v>
      </c>
      <c r="E78" t="str">
        <v>Wizard</v>
      </c>
      <c r="F78" t="str">
        <v>N/A</v>
      </c>
      <c r="G78" t="str">
        <v>N/A</v>
      </c>
      <c r="H78">
        <v>37</v>
      </c>
      <c r="I78">
        <v>0</v>
      </c>
      <c r="J78" t="str">
        <v>Mythic</v>
      </c>
      <c r="K78">
        <f>IF(H78&gt;0, H78/U78, "N/A")</f>
        <v>7.4</v>
      </c>
      <c r="L78" t="str">
        <v>N/A</v>
      </c>
      <c r="M78" t="str">
        <v>N/A</v>
      </c>
      <c r="N78">
        <v>30</v>
      </c>
      <c r="O78" t="str">
        <v>N/A</v>
      </c>
      <c r="P78" t="str">
        <v>N/A</v>
      </c>
      <c r="Q78" t="str">
        <v>N/A</v>
      </c>
      <c r="R78" t="str">
        <v>N/A</v>
      </c>
      <c r="S78" t="str">
        <v>N/A</v>
      </c>
      <c r="T78">
        <v>260</v>
      </c>
      <c r="U78">
        <v>5</v>
      </c>
      <c r="V78" t="str">
        <v>N/A</v>
      </c>
      <c r="X78" t="str">
        <f>IFERROR(__xludf.DUMMYFUNCTION("""COMPUTED_VALUE"""),"")</f>
        <v/>
      </c>
      <c r="Y78" t="str">
        <v>The Crimson Nest Crate</v>
      </c>
    </row>
    <row r="79">
      <c r="A79" t="str">
        <v>Rhythmclaw</v>
      </c>
      <c r="B79" t="str">
        <v>N/A</v>
      </c>
      <c r="C79" t="str">
        <v>Rhythmclaw</v>
      </c>
      <c r="D79" t="str">
        <v>https://raw.githubusercontent.com/BlackDragon2435/UnitsBGWiki/main/assets/Rhythmclaw_Mythic.jpg</v>
      </c>
      <c r="E79" t="str">
        <v>Support</v>
      </c>
      <c r="F79" t="str">
        <v>N/A</v>
      </c>
      <c r="G79" t="str">
        <v>Bard</v>
      </c>
      <c r="H79">
        <v>30</v>
      </c>
      <c r="I79">
        <v>0</v>
      </c>
      <c r="J79" t="str">
        <v>Mythic</v>
      </c>
      <c r="K79">
        <f>IF(H79&gt;0, H79/U79, "N/A")</f>
        <v>5.454545455</v>
      </c>
      <c r="L79" t="str">
        <v>N/A</v>
      </c>
      <c r="M79" t="str">
        <v>N/A</v>
      </c>
      <c r="N79">
        <v>70</v>
      </c>
      <c r="O79" t="str">
        <v>N/A</v>
      </c>
      <c r="P79" t="str">
        <v>N/A</v>
      </c>
      <c r="Q79" t="str">
        <v>Bard</v>
      </c>
      <c r="R79" t="str">
        <v>N/A</v>
      </c>
      <c r="S79" t="str">
        <v>Bard</v>
      </c>
      <c r="T79">
        <v>300</v>
      </c>
      <c r="U79">
        <v>5.5</v>
      </c>
      <c r="V79" t="str">
        <v>N/A</v>
      </c>
      <c r="X79" t="str">
        <f>IFERROR(__xludf.DUMMYFUNCTION("""COMPUTED_VALUE"""),"B")</f>
        <v>B</v>
      </c>
      <c r="Y79" t="str">
        <v>The Elven Forest Crate</v>
      </c>
    </row>
    <row r="80">
      <c r="A80" t="str">
        <v>ElvenAssassin</v>
      </c>
      <c r="B80">
        <v>0.15</v>
      </c>
      <c r="C80" t="str">
        <v>Elven Assassin</v>
      </c>
      <c r="D80" t="str">
        <v>https://placehold.co/60x60/cccccc/333333?text=EA</v>
      </c>
      <c r="E80" t="str">
        <v>Assassin</v>
      </c>
      <c r="F80" t="str">
        <v>N/A</v>
      </c>
      <c r="G80" t="str">
        <v>Weak</v>
      </c>
      <c r="H80">
        <v>22</v>
      </c>
      <c r="I80">
        <v>0</v>
      </c>
      <c r="J80" t="str">
        <v>Legendary</v>
      </c>
      <c r="K80">
        <f>IF(H80&gt;0, H80/U80, "N/A")</f>
        <v>29.33333333</v>
      </c>
      <c r="L80" t="str">
        <v>N/A</v>
      </c>
      <c r="M80">
        <v>0.15</v>
      </c>
      <c r="N80">
        <v>6</v>
      </c>
      <c r="O80">
        <v>14</v>
      </c>
      <c r="P80" t="str">
        <v>N/A</v>
      </c>
      <c r="Q80" t="str">
        <v>Weak</v>
      </c>
      <c r="R80" t="str">
        <v>N/A</v>
      </c>
      <c r="S80" t="str">
        <v>Weak</v>
      </c>
      <c r="T80">
        <v>90</v>
      </c>
      <c r="U80">
        <v>0.75</v>
      </c>
      <c r="V80">
        <v>2</v>
      </c>
      <c r="X80" t="str">
        <f>IFERROR(__xludf.DUMMYFUNCTION("""COMPUTED_VALUE"""),"")</f>
        <v/>
      </c>
      <c r="Y80" t="str">
        <v>The Goblins Cave Crate</v>
      </c>
    </row>
    <row r="81">
      <c r="A81" t="str">
        <v>GoblinKingSmall</v>
      </c>
      <c r="B81" t="str">
        <v>N/A</v>
      </c>
      <c r="C81" t="str">
        <v>Goblin King(Normal)</v>
      </c>
      <c r="D81" t="str">
        <v>https://placehold.co/60x60/cccccc/333333?text=GKS</v>
      </c>
      <c r="E81" t="str">
        <v>Warrior</v>
      </c>
      <c r="F81" t="str">
        <v>N/A</v>
      </c>
      <c r="G81" t="str">
        <v>Fire</v>
      </c>
      <c r="H81">
        <v>70</v>
      </c>
      <c r="I81">
        <v>0</v>
      </c>
      <c r="J81" t="str">
        <v>Mythic</v>
      </c>
      <c r="K81">
        <f>IF(H81&gt;0, H81/U81, "N/A")</f>
        <v>23.33333333</v>
      </c>
      <c r="L81" t="str">
        <v>N/A</v>
      </c>
      <c r="M81" t="str">
        <v>N/A</v>
      </c>
      <c r="N81">
        <v>6</v>
      </c>
      <c r="O81" t="str">
        <v>N/A</v>
      </c>
      <c r="P81" t="str">
        <v>N/A</v>
      </c>
      <c r="Q81" t="str">
        <v>Damage</v>
      </c>
      <c r="R81" t="str">
        <v>N/A</v>
      </c>
      <c r="S81" t="str">
        <v>Burn</v>
      </c>
      <c r="T81">
        <v>400</v>
      </c>
      <c r="U81">
        <v>3</v>
      </c>
      <c r="V81" t="str">
        <v>N/A</v>
      </c>
      <c r="X81" t="str">
        <f>IFERROR(__xludf.DUMMYFUNCTION("""COMPUTED_VALUE"""),"")</f>
        <v/>
      </c>
      <c r="Y81" t="str">
        <v>Not in a provided crate</v>
      </c>
    </row>
    <row r="82">
      <c r="A82" t="str">
        <v>SmallPoseidon</v>
      </c>
      <c r="B82">
        <v>0.02</v>
      </c>
      <c r="C82" t="str">
        <v>Poseidon(Normal)</v>
      </c>
      <c r="D82" t="str">
        <v>https://raw.githubusercontent.com/BlackDragon2435/UnitsBGWiki/main/assets/SmallPoseidon_Ancient.jpg</v>
      </c>
      <c r="E82" t="str">
        <v>Warrior</v>
      </c>
      <c r="F82" t="str">
        <v>N/A</v>
      </c>
      <c r="G82" t="str">
        <v>N/A</v>
      </c>
      <c r="H82">
        <v>125</v>
      </c>
      <c r="I82">
        <v>10</v>
      </c>
      <c r="J82" t="str">
        <v>Ancient</v>
      </c>
      <c r="K82">
        <f>IF(H82&gt;0, H82/U82, "N/A")</f>
        <v>69.44444444</v>
      </c>
      <c r="L82">
        <v>1.41</v>
      </c>
      <c r="M82">
        <v>0.04</v>
      </c>
      <c r="N82">
        <v>5</v>
      </c>
      <c r="O82" t="str">
        <v>N/A</v>
      </c>
      <c r="P82">
        <v>1.5</v>
      </c>
      <c r="Q82" t="str">
        <v>N/A</v>
      </c>
      <c r="R82" t="str">
        <v>N/A</v>
      </c>
      <c r="S82" t="str">
        <v>N/A</v>
      </c>
      <c r="T82">
        <v>1250</v>
      </c>
      <c r="U82">
        <v>1.8</v>
      </c>
      <c r="V82" t="str">
        <v>N/A</v>
      </c>
      <c r="X82" t="str">
        <f>IFERROR(__xludf.DUMMYFUNCTION("""COMPUTED_VALUE"""),"C")</f>
        <v>C</v>
      </c>
      <c r="Y82" t="str">
        <v>Crystal crate #3, Crystal crate #2, Crystal crate #1, Crystal crate #4</v>
      </c>
    </row>
    <row r="83">
      <c r="A83" t="str">
        <v>Medusa</v>
      </c>
      <c r="B83" t="str">
        <v>N/A</v>
      </c>
      <c r="C83" t="str">
        <v>Medusa</v>
      </c>
      <c r="D83" t="str">
        <v>https://raw.githubusercontent.com/BlackDragon2435/UnitsBGWiki/main/assets/Medusa_Demonic.jpg</v>
      </c>
      <c r="E83" t="str">
        <v>Ranger</v>
      </c>
      <c r="F83" t="str">
        <v>N/A</v>
      </c>
      <c r="G83" t="str">
        <v>N/A</v>
      </c>
      <c r="H83">
        <v>25</v>
      </c>
      <c r="I83">
        <v>0</v>
      </c>
      <c r="J83" t="str">
        <v>Demonic</v>
      </c>
      <c r="K83">
        <f>IF(H83&gt;0, H83/U83, "N/A")</f>
        <v>25</v>
      </c>
      <c r="L83" t="str">
        <v>N/A</v>
      </c>
      <c r="M83" t="str">
        <v>N/A</v>
      </c>
      <c r="N83">
        <v>45</v>
      </c>
      <c r="O83" t="str">
        <v>N/A</v>
      </c>
      <c r="P83" t="str">
        <v>N/A</v>
      </c>
      <c r="Q83" t="str">
        <v>N/A</v>
      </c>
      <c r="R83" t="str">
        <v>N/A</v>
      </c>
      <c r="S83" t="str">
        <v>N/A</v>
      </c>
      <c r="T83">
        <v>450</v>
      </c>
      <c r="U83">
        <v>1</v>
      </c>
      <c r="V83" t="str">
        <v>N/A</v>
      </c>
      <c r="W83">
        <v>6</v>
      </c>
      <c r="X83" t="str">
        <f>IFERROR(__xludf.DUMMYFUNCTION("""COMPUTED_VALUE"""),"S")</f>
        <v>S</v>
      </c>
      <c r="Y83" t="str">
        <v>Epic box, Legendary box, Crystal crate #1, Mythic box</v>
      </c>
    </row>
    <row r="84">
      <c r="A84" t="str">
        <v>KiMaster</v>
      </c>
      <c r="B84" t="str">
        <v>N/A</v>
      </c>
      <c r="C84" t="str">
        <v>Ki Master</v>
      </c>
      <c r="D84" t="str">
        <v>https://placehold.co/60x60/cccccc/333333?text=KM</v>
      </c>
      <c r="E84" t="str">
        <v>Warrior</v>
      </c>
      <c r="F84" t="str">
        <v>N/A</v>
      </c>
      <c r="G84" t="str">
        <v>Lifesteal</v>
      </c>
      <c r="H84">
        <v>15</v>
      </c>
      <c r="I84">
        <v>0</v>
      </c>
      <c r="J84" t="str">
        <v>Legendary</v>
      </c>
      <c r="K84">
        <f>IF(H84&gt;0, H84/U84, "N/A")</f>
        <v>25</v>
      </c>
      <c r="L84" t="str">
        <v>N/A</v>
      </c>
      <c r="M84" t="str">
        <v>N/A</v>
      </c>
      <c r="N84">
        <v>5</v>
      </c>
      <c r="O84" t="str">
        <v>N/A</v>
      </c>
      <c r="P84" t="str">
        <v>N/A</v>
      </c>
      <c r="Q84" t="str">
        <v>Lifesteal</v>
      </c>
      <c r="R84">
        <v>7</v>
      </c>
      <c r="S84" t="str">
        <v>Lifesteal</v>
      </c>
      <c r="T84">
        <v>300</v>
      </c>
      <c r="U84">
        <v>0.6</v>
      </c>
      <c r="V84" t="str">
        <v>N/A</v>
      </c>
      <c r="X84" t="str">
        <f>IFERROR(__xludf.DUMMYFUNCTION("""COMPUTED_VALUE"""),"")</f>
        <v/>
      </c>
      <c r="Y84" t="str">
        <v>Legendary box, Crystal crate #1</v>
      </c>
    </row>
    <row r="85">
      <c r="A85" t="str">
        <v>DragonSlayer</v>
      </c>
      <c r="B85" t="str">
        <v>N/A</v>
      </c>
      <c r="C85" t="str">
        <v>Dragon Slayer</v>
      </c>
      <c r="D85" t="str">
        <v>https://raw.githubusercontent.com/BlackDragon2435/UnitsBGWiki/main/assets/DragonSlayer_Mythic.jpg</v>
      </c>
      <c r="E85" t="str">
        <v>Warrior</v>
      </c>
      <c r="F85" t="str">
        <v>N/A</v>
      </c>
      <c r="G85" t="str">
        <v>N/A</v>
      </c>
      <c r="H85">
        <v>75</v>
      </c>
      <c r="I85">
        <v>10</v>
      </c>
      <c r="J85" t="str">
        <v>Mythic</v>
      </c>
      <c r="K85">
        <f>IF(H85&gt;0, H85/U85, "N/A")</f>
        <v>42.85714286</v>
      </c>
      <c r="L85" t="str">
        <v>N/A</v>
      </c>
      <c r="M85" t="str">
        <v>N/A</v>
      </c>
      <c r="N85">
        <v>10</v>
      </c>
      <c r="O85" t="str">
        <v>N/A</v>
      </c>
      <c r="P85" t="str">
        <v>N/A</v>
      </c>
      <c r="Q85" t="str">
        <v>N/A</v>
      </c>
      <c r="R85" t="str">
        <v>N/A</v>
      </c>
      <c r="S85" t="str">
        <v>N/A</v>
      </c>
      <c r="T85">
        <v>400</v>
      </c>
      <c r="U85">
        <v>1.75</v>
      </c>
      <c r="V85" t="str">
        <v>N/A</v>
      </c>
      <c r="X85" t="str">
        <f>IFERROR(__xludf.DUMMYFUNCTION("""COMPUTED_VALUE"""),"")</f>
        <v/>
      </c>
      <c r="Y85" t="str">
        <v>Crystal crate #3, Crystal crate #1, Crystal crate #4</v>
      </c>
    </row>
    <row r="86">
      <c r="A86" t="str">
        <v>Angel</v>
      </c>
      <c r="B86" t="str">
        <v>N/A</v>
      </c>
      <c r="C86" t="str">
        <v>Angel</v>
      </c>
      <c r="D86" t="str">
        <v>https://raw.githubusercontent.com/BlackDragon2435/UnitsBGWiki/main/assets/Angel_Mythic.jpg</v>
      </c>
      <c r="E86" t="str">
        <v>Healer</v>
      </c>
      <c r="F86" t="str">
        <v>N/A</v>
      </c>
      <c r="G86" t="str">
        <v>Healing</v>
      </c>
      <c r="H86">
        <v>35</v>
      </c>
      <c r="I86">
        <v>0</v>
      </c>
      <c r="J86" t="str">
        <v>Mythic</v>
      </c>
      <c r="K86">
        <f>IF(H86&gt;0, H86/U86, "N/A")</f>
        <v>23.33333333</v>
      </c>
      <c r="L86" t="str">
        <v>N/A</v>
      </c>
      <c r="M86" t="str">
        <v>N/A</v>
      </c>
      <c r="N86">
        <v>35</v>
      </c>
      <c r="O86" t="str">
        <v>N/A</v>
      </c>
      <c r="P86" t="str">
        <v>N/A</v>
      </c>
      <c r="Q86" t="str">
        <v>N/A</v>
      </c>
      <c r="R86" t="str">
        <v>N/A</v>
      </c>
      <c r="S86" t="str">
        <v>N/A</v>
      </c>
      <c r="T86">
        <v>120</v>
      </c>
      <c r="U86">
        <v>1.5</v>
      </c>
      <c r="V86" t="str">
        <v>N/A</v>
      </c>
      <c r="X86" t="str">
        <f>IFERROR(__xludf.DUMMYFUNCTION("""COMPUTED_VALUE"""),"D")</f>
        <v>D</v>
      </c>
      <c r="Y86" t="str">
        <v>The Crimson Nest Crate</v>
      </c>
    </row>
    <row r="87">
      <c r="A87" t="str">
        <v>DragonBerserker</v>
      </c>
      <c r="B87" t="str">
        <v>N/A</v>
      </c>
      <c r="C87" t="str">
        <v>Dragon Berserker</v>
      </c>
      <c r="D87" t="str">
        <v>https://raw.githubusercontent.com/BlackDragon2435/UnitsBGWiki/main/assets/DragonBerserker_Legendary.jpg</v>
      </c>
      <c r="E87" t="str">
        <v>Warrior</v>
      </c>
      <c r="F87" t="str">
        <v>N/A</v>
      </c>
      <c r="G87" t="str">
        <v>N/A</v>
      </c>
      <c r="H87">
        <v>35</v>
      </c>
      <c r="I87">
        <v>0</v>
      </c>
      <c r="J87" t="str">
        <v>Legendary</v>
      </c>
      <c r="K87">
        <f>IF(H87&gt;0, H87/U87, "N/A")</f>
        <v>26.92307692</v>
      </c>
      <c r="L87" t="str">
        <v>N/A</v>
      </c>
      <c r="M87" t="str">
        <v>N/A</v>
      </c>
      <c r="N87">
        <v>5</v>
      </c>
      <c r="O87" t="str">
        <v>N/A</v>
      </c>
      <c r="P87" t="str">
        <v>N/A</v>
      </c>
      <c r="Q87" t="str">
        <v>N/A</v>
      </c>
      <c r="R87" t="str">
        <v>N/A</v>
      </c>
      <c r="S87" t="str">
        <v>N/A</v>
      </c>
      <c r="T87">
        <v>260</v>
      </c>
      <c r="U87">
        <v>1.3</v>
      </c>
      <c r="V87" t="str">
        <v>N/A</v>
      </c>
      <c r="X87" t="str">
        <f>IFERROR(__xludf.DUMMYFUNCTION("""COMPUTED_VALUE"""),"D")</f>
        <v>D</v>
      </c>
      <c r="Y87" t="str">
        <v>Crystal crate #3, Crystal crate #2, Crystal crate #1, Crystal crate #4, Mythic box</v>
      </c>
    </row>
    <row r="88">
      <c r="A88" t="str">
        <v>Cowboy</v>
      </c>
      <c r="B88" t="str">
        <v>N/A</v>
      </c>
      <c r="C88" t="str">
        <v>Cowboy</v>
      </c>
      <c r="D88" t="str">
        <v>https://placehold.co/60x60/cccccc/333333?text=C</v>
      </c>
      <c r="E88" t="str">
        <v>Ranger</v>
      </c>
      <c r="F88" t="str">
        <v>N/A</v>
      </c>
      <c r="G88" t="str">
        <v>N/A</v>
      </c>
      <c r="H88">
        <v>60</v>
      </c>
      <c r="I88">
        <v>0</v>
      </c>
      <c r="J88" t="str">
        <v>Legendary</v>
      </c>
      <c r="K88">
        <f>IF(H88&gt;0, H88/U88, "N/A")</f>
        <v>18.46153846</v>
      </c>
      <c r="L88" t="str">
        <v>N/A</v>
      </c>
      <c r="M88">
        <v>0.1</v>
      </c>
      <c r="N88">
        <v>25</v>
      </c>
      <c r="O88" t="str">
        <v>N/A</v>
      </c>
      <c r="P88" t="str">
        <v>N/A</v>
      </c>
      <c r="Q88" t="str">
        <v>N/A</v>
      </c>
      <c r="R88" t="str">
        <v>N/A</v>
      </c>
      <c r="S88" t="str">
        <v>N/A</v>
      </c>
      <c r="T88">
        <v>180</v>
      </c>
      <c r="U88">
        <v>3.25</v>
      </c>
      <c r="V88" t="str">
        <v>N/A</v>
      </c>
      <c r="X88" t="str">
        <f>IFERROR(__xludf.DUMMYFUNCTION("""COMPUTED_VALUE"""),"")</f>
        <v/>
      </c>
      <c r="Y88" t="str">
        <v>The Crimson Nest Crate</v>
      </c>
    </row>
    <row r="89">
      <c r="A89" t="str">
        <v>Viperfang</v>
      </c>
      <c r="B89">
        <v>0.35</v>
      </c>
      <c r="C89" t="str">
        <v>Viperfang</v>
      </c>
      <c r="D89" t="str">
        <v>https://raw.githubusercontent.com/BlackDragon2435/UnitsBGWiki/main/assets/Viperfang_Mythic.jpg</v>
      </c>
      <c r="E89" t="str">
        <v>Assassin</v>
      </c>
      <c r="F89" t="str">
        <v>N/A</v>
      </c>
      <c r="G89" t="str">
        <v>Lifesteal</v>
      </c>
      <c r="H89">
        <v>50</v>
      </c>
      <c r="I89">
        <v>0</v>
      </c>
      <c r="J89" t="str">
        <v>Mythic</v>
      </c>
      <c r="K89">
        <f>IF(H89&gt;0, H89/U89, "N/A")</f>
        <v>62.5</v>
      </c>
      <c r="L89" t="str">
        <v>N/A</v>
      </c>
      <c r="M89">
        <v>0.25</v>
      </c>
      <c r="N89">
        <v>6</v>
      </c>
      <c r="O89">
        <v>30</v>
      </c>
      <c r="P89" t="str">
        <v>N/A</v>
      </c>
      <c r="Q89" t="str">
        <v>Lifesteal</v>
      </c>
      <c r="R89">
        <v>25</v>
      </c>
      <c r="S89" t="str">
        <v>Lifesteal</v>
      </c>
      <c r="T89">
        <v>350</v>
      </c>
      <c r="U89">
        <v>0.8</v>
      </c>
      <c r="V89">
        <v>1</v>
      </c>
      <c r="X89" t="str">
        <f>IFERROR(__xludf.DUMMYFUNCTION("""COMPUTED_VALUE"""),"B")</f>
        <v>B</v>
      </c>
      <c r="Y89" t="str">
        <v>The Crimson Nest Crate</v>
      </c>
    </row>
    <row r="90">
      <c r="A90" t="str">
        <v>Chaosflare</v>
      </c>
      <c r="B90" t="str">
        <v>N/A</v>
      </c>
      <c r="C90" t="str">
        <v>Chaosflare</v>
      </c>
      <c r="D90" t="str">
        <v>https://raw.githubusercontent.com/BlackDragon2435/UnitsBGWiki/main/assets/Chaosflare_Demonic.jpg</v>
      </c>
      <c r="E90" t="str">
        <v>Wizard</v>
      </c>
      <c r="F90" t="str">
        <v>N/A</v>
      </c>
      <c r="G90" t="str">
        <v>N/A</v>
      </c>
      <c r="H90">
        <v>60</v>
      </c>
      <c r="I90" t="str">
        <v>N/A</v>
      </c>
      <c r="J90" t="str">
        <v>Demonic</v>
      </c>
      <c r="K90">
        <f>IF(H90&gt;0, H90/U90, "N/A")</f>
        <v>40</v>
      </c>
      <c r="L90" t="str">
        <v>N/A</v>
      </c>
      <c r="M90" t="str">
        <v>N/A</v>
      </c>
      <c r="N90">
        <v>50</v>
      </c>
      <c r="O90" t="str">
        <v>N/A</v>
      </c>
      <c r="P90" t="str">
        <v>N/A</v>
      </c>
      <c r="Q90" t="str">
        <v>N/A</v>
      </c>
      <c r="R90" t="str">
        <v>N/A</v>
      </c>
      <c r="S90" t="str">
        <v>N/A</v>
      </c>
      <c r="T90">
        <v>450</v>
      </c>
      <c r="U90">
        <v>1.5</v>
      </c>
      <c r="V90" t="str">
        <v>N/A</v>
      </c>
      <c r="X90" t="str">
        <f>IFERROR(__xludf.DUMMYFUNCTION("""COMPUTED_VALUE"""),"A")</f>
        <v>A</v>
      </c>
      <c r="Y90" t="str">
        <v>Not in a provided crate</v>
      </c>
    </row>
    <row r="91">
      <c r="A91" t="str">
        <v>Thanatos</v>
      </c>
      <c r="B91">
        <v>0.45</v>
      </c>
      <c r="C91" t="str">
        <v>Thanatos</v>
      </c>
      <c r="D91" t="str">
        <v>https://raw.githubusercontent.com/BlackDragon2435/UnitsBGWiki/main/assets/Thanatos_Demonic.jpg</v>
      </c>
      <c r="E91" t="str">
        <v>Assassin</v>
      </c>
      <c r="F91">
        <v>25</v>
      </c>
      <c r="G91" t="str">
        <v>Lifesteal</v>
      </c>
      <c r="H91">
        <v>55</v>
      </c>
      <c r="I91">
        <v>0</v>
      </c>
      <c r="J91" t="str">
        <v>Demonic</v>
      </c>
      <c r="K91">
        <f>IF(H91&gt;0, H91/U91, "N/A")</f>
        <v>64.70588235</v>
      </c>
      <c r="L91">
        <v>101</v>
      </c>
      <c r="M91">
        <v>0.35</v>
      </c>
      <c r="N91">
        <v>6</v>
      </c>
      <c r="O91">
        <v>30</v>
      </c>
      <c r="P91">
        <v>2.3</v>
      </c>
      <c r="Q91" t="str">
        <v>Lifesteal</v>
      </c>
      <c r="R91">
        <v>30</v>
      </c>
      <c r="S91" t="str">
        <v>Lifesteal</v>
      </c>
      <c r="T91">
        <v>410</v>
      </c>
      <c r="U91">
        <v>0.85</v>
      </c>
      <c r="V91">
        <v>1</v>
      </c>
      <c r="X91" t="str">
        <f>IFERROR(__xludf.DUMMYFUNCTION("""COMPUTED_VALUE"""),"S")</f>
        <v>S</v>
      </c>
      <c r="Y91" t="str">
        <v>Not in a provided crate</v>
      </c>
    </row>
    <row r="92">
      <c r="A92" t="str">
        <v>Zeus</v>
      </c>
      <c r="B92" t="str">
        <v>N/A</v>
      </c>
      <c r="C92" t="str">
        <v>Zeus</v>
      </c>
      <c r="D92" t="str">
        <v>https://placehold.co/60x60/cccccc/333333?text=Z</v>
      </c>
      <c r="E92" t="str">
        <v>Wizard</v>
      </c>
      <c r="F92" t="str">
        <v>N/A</v>
      </c>
      <c r="G92" t="str">
        <v>N/A</v>
      </c>
      <c r="H92">
        <v>45</v>
      </c>
      <c r="I92" t="str">
        <v>N/A</v>
      </c>
      <c r="J92" t="str">
        <v>Ancient</v>
      </c>
      <c r="K92">
        <f>IF(H92&gt;0, H92/U92, "N/A")</f>
        <v>22.5</v>
      </c>
      <c r="L92" t="str">
        <v>N/A</v>
      </c>
      <c r="M92" t="str">
        <v>N/A</v>
      </c>
      <c r="N92">
        <v>50</v>
      </c>
      <c r="O92" t="str">
        <v>N/A</v>
      </c>
      <c r="P92" t="str">
        <v>N/A</v>
      </c>
      <c r="Q92" t="str">
        <v>N/A</v>
      </c>
      <c r="R92" t="str">
        <v>N/A</v>
      </c>
      <c r="S92" t="str">
        <v>N/A</v>
      </c>
      <c r="T92">
        <v>450</v>
      </c>
      <c r="U92">
        <v>2</v>
      </c>
      <c r="V92" t="str">
        <v>N/A</v>
      </c>
      <c r="W92">
        <v>4</v>
      </c>
      <c r="X92" t="str">
        <f>IFERROR(__xludf.DUMMYFUNCTION("""COMPUTED_VALUE"""),"S")</f>
        <v>S</v>
      </c>
      <c r="Y92" t="str">
        <v>The Crimson Nest Crate</v>
      </c>
    </row>
    <row r="93">
      <c r="A93" t="str">
        <v>DemonicCureflare</v>
      </c>
      <c r="B93" t="str">
        <v>N/A</v>
      </c>
      <c r="C93" t="str">
        <v>Cureflare</v>
      </c>
      <c r="D93" t="str">
        <v>https://raw.githubusercontent.com/BlackDragon2435/UnitsBGWiki/main/assets/DemonicCureflare_Demonic.jpg</v>
      </c>
      <c r="E93" t="str">
        <v>Healer</v>
      </c>
      <c r="F93" t="str">
        <v>N/A</v>
      </c>
      <c r="G93" t="str">
        <v>Healing</v>
      </c>
      <c r="H93">
        <v>45</v>
      </c>
      <c r="I93">
        <v>0</v>
      </c>
      <c r="J93" t="str">
        <v>Demonic</v>
      </c>
      <c r="K93">
        <f>IF(H93&gt;0, H93/U93, "N/A")</f>
        <v>34.61538462</v>
      </c>
      <c r="L93" t="str">
        <v>N/A</v>
      </c>
      <c r="M93" t="str">
        <v>N/A</v>
      </c>
      <c r="N93">
        <v>200</v>
      </c>
      <c r="O93" t="str">
        <v>N/A</v>
      </c>
      <c r="P93" t="str">
        <v>N/A</v>
      </c>
      <c r="Q93" t="str">
        <v>N/A</v>
      </c>
      <c r="R93" t="str">
        <v>N/A</v>
      </c>
      <c r="S93" t="str">
        <v>N/A</v>
      </c>
      <c r="T93">
        <v>300</v>
      </c>
      <c r="U93">
        <v>1.3</v>
      </c>
      <c r="V93" t="str">
        <v>N/A</v>
      </c>
      <c r="X93" t="str">
        <f>IFERROR(__xludf.DUMMYFUNCTION("""COMPUTED_VALUE"""),"B")</f>
        <v>B</v>
      </c>
      <c r="Y93" t="str">
        <v>Crystal crate #3, Crystal crate #2, Crystal crate #1, Crystal crate #4</v>
      </c>
    </row>
    <row r="94">
      <c r="A94" t="str">
        <v>PlagueDoctor</v>
      </c>
      <c r="B94" t="str">
        <v>N/A</v>
      </c>
      <c r="C94" t="str">
        <v>Plague Doctor</v>
      </c>
      <c r="D94" t="str">
        <v>https://raw.githubusercontent.com/BlackDragon2435/UnitsBGWiki/main/assets/PlagueDoctor_Epic.jpg</v>
      </c>
      <c r="E94" t="str">
        <v>Ranger</v>
      </c>
      <c r="F94" t="str">
        <v>N/A</v>
      </c>
      <c r="G94" t="str">
        <v>Poison</v>
      </c>
      <c r="H94">
        <v>20</v>
      </c>
      <c r="I94">
        <v>0</v>
      </c>
      <c r="J94" t="str">
        <v>Epic</v>
      </c>
      <c r="K94">
        <f>IF(H94&gt;0, H94/U94, "N/A")</f>
        <v>11.42857143</v>
      </c>
      <c r="L94" t="str">
        <v>N/A</v>
      </c>
      <c r="M94" t="str">
        <v>N/A</v>
      </c>
      <c r="N94">
        <v>20</v>
      </c>
      <c r="O94" t="str">
        <v>N/A</v>
      </c>
      <c r="P94" t="str">
        <v>N/A</v>
      </c>
      <c r="Q94" t="str">
        <v>Damage</v>
      </c>
      <c r="R94" t="str">
        <v>N/A</v>
      </c>
      <c r="S94" t="str">
        <v>Poison</v>
      </c>
      <c r="T94">
        <v>80</v>
      </c>
      <c r="U94">
        <v>1.75</v>
      </c>
      <c r="V94" t="str">
        <v>N/A</v>
      </c>
      <c r="X94" t="str">
        <f>IFERROR(__xludf.DUMMYFUNCTION("""COMPUTED_VALUE"""),"")</f>
        <v/>
      </c>
      <c r="Y94" t="str">
        <v>The Graveyard Crate</v>
      </c>
    </row>
    <row r="95">
      <c r="A95" t="str">
        <v>SkeletonSamurai</v>
      </c>
      <c r="B95" t="str">
        <v>N/A</v>
      </c>
      <c r="C95" t="str">
        <v>Skeleton Samurai</v>
      </c>
      <c r="D95" t="str">
        <v>https://raw.githubusercontent.com/BlackDragon2435/UnitsBGWiki/main/assets/SkeletonSamurai_Epic.jpg</v>
      </c>
      <c r="E95" t="str">
        <v>Warrior</v>
      </c>
      <c r="F95" t="str">
        <v>N/A</v>
      </c>
      <c r="G95" t="str">
        <v>N/A</v>
      </c>
      <c r="H95">
        <v>25</v>
      </c>
      <c r="I95">
        <v>0</v>
      </c>
      <c r="J95" t="str">
        <v>Epic</v>
      </c>
      <c r="K95">
        <f>IF(H95&gt;0, H95/U95, "N/A")</f>
        <v>22.72727273</v>
      </c>
      <c r="L95" t="str">
        <v>N/A</v>
      </c>
      <c r="M95" t="str">
        <v>N/A</v>
      </c>
      <c r="N95">
        <v>6</v>
      </c>
      <c r="O95" t="str">
        <v>N/A</v>
      </c>
      <c r="P95" t="str">
        <v>N/A</v>
      </c>
      <c r="Q95" t="str">
        <v>N/A</v>
      </c>
      <c r="R95" t="str">
        <v>N/A</v>
      </c>
      <c r="S95" t="str">
        <v>N/A</v>
      </c>
      <c r="T95">
        <v>180</v>
      </c>
      <c r="U95">
        <v>1.1</v>
      </c>
      <c r="V95" t="str">
        <v>N/A</v>
      </c>
      <c r="X95" t="str">
        <f>IFERROR(__xludf.DUMMYFUNCTION("""COMPUTED_VALUE"""),"")</f>
        <v/>
      </c>
      <c r="Y95" t="str">
        <v>Not in a provided crate</v>
      </c>
    </row>
    <row r="96">
      <c r="A96" t="str">
        <v>Triton</v>
      </c>
      <c r="B96" t="str">
        <v>N/A</v>
      </c>
      <c r="C96" t="str">
        <v>Triton</v>
      </c>
      <c r="D96" t="str">
        <v>https://placehold.co/60x60/cccccc/333333?text=T</v>
      </c>
      <c r="E96" t="str">
        <v>Support</v>
      </c>
      <c r="F96" t="str">
        <v>N/A</v>
      </c>
      <c r="G96" t="str">
        <v>Bard</v>
      </c>
      <c r="H96">
        <v>37</v>
      </c>
      <c r="I96">
        <v>10</v>
      </c>
      <c r="J96" t="str">
        <v>Demonic</v>
      </c>
      <c r="K96">
        <f>IF(H96&gt;0, H96/U96, "N/A")</f>
        <v>6.379310345</v>
      </c>
      <c r="L96" t="str">
        <v>N/A</v>
      </c>
      <c r="M96">
        <v>0.04</v>
      </c>
      <c r="N96">
        <v>70</v>
      </c>
      <c r="O96" t="str">
        <v>N/A</v>
      </c>
      <c r="P96" t="str">
        <v>N/A</v>
      </c>
      <c r="Q96" t="str">
        <v>Bard</v>
      </c>
      <c r="R96" t="str">
        <v>N/A</v>
      </c>
      <c r="S96" t="str">
        <v>Bard</v>
      </c>
      <c r="T96">
        <v>200</v>
      </c>
      <c r="U96">
        <v>5.8</v>
      </c>
      <c r="V96" t="str">
        <v>N/A</v>
      </c>
      <c r="X96" t="str">
        <f>IFERROR(__xludf.DUMMYFUNCTION("""COMPUTED_VALUE"""),"S")</f>
        <v>S</v>
      </c>
      <c r="Y96" t="str">
        <v>Not in a provided crate</v>
      </c>
    </row>
    <row r="97">
      <c r="A97" t="str">
        <v>HeadlessKnight</v>
      </c>
      <c r="B97" t="str">
        <v>N/A</v>
      </c>
      <c r="C97" t="str">
        <v>The Headless Knight(BossUnit)</v>
      </c>
      <c r="D97" t="str">
        <v>https://raw.githubusercontent.com/BlackDragon2435/UnitsBGWiki/main/assets/HeadlessKnight_Mythic.jpg</v>
      </c>
      <c r="E97" t="str">
        <v>Warrior</v>
      </c>
      <c r="F97" t="str">
        <v>N/A</v>
      </c>
      <c r="G97" t="str">
        <v>N/A</v>
      </c>
      <c r="H97">
        <v>300</v>
      </c>
      <c r="I97">
        <v>10</v>
      </c>
      <c r="J97" t="str">
        <v>Mythic</v>
      </c>
      <c r="K97">
        <f>IF(H97&gt;0, H97/U97, "N/A")</f>
        <v>171.4285714</v>
      </c>
      <c r="L97">
        <v>1.4</v>
      </c>
      <c r="M97" t="str">
        <v>N/A</v>
      </c>
      <c r="N97">
        <v>15</v>
      </c>
      <c r="O97" t="str">
        <v>N/A</v>
      </c>
      <c r="P97" t="str">
        <v>N/A</v>
      </c>
      <c r="Q97" t="str">
        <v>N/A</v>
      </c>
      <c r="R97" t="str">
        <v>N/A</v>
      </c>
      <c r="S97" t="str">
        <v>N/A</v>
      </c>
      <c r="T97">
        <v>500000</v>
      </c>
      <c r="U97">
        <v>1.75</v>
      </c>
      <c r="V97" t="str">
        <v>N/A</v>
      </c>
      <c r="X97" t="str">
        <f>IFERROR(__xludf.DUMMYFUNCTION("""COMPUTED_VALUE"""),"F")</f>
        <v>F</v>
      </c>
      <c r="Y97" t="str">
        <v>Crystal crate #2</v>
      </c>
    </row>
    <row r="98">
      <c r="A98" t="str">
        <v>Marksman</v>
      </c>
      <c r="B98">
        <v>0.2</v>
      </c>
      <c r="C98" t="str">
        <v>Marksman</v>
      </c>
      <c r="D98" t="str">
        <v>https://raw.githubusercontent.com/BlackDragon2435/UnitsBGWiki/main/assets/Marksman_Mythic.jpg</v>
      </c>
      <c r="E98" t="str">
        <v>Ranger</v>
      </c>
      <c r="F98" t="str">
        <v>N/A</v>
      </c>
      <c r="G98" t="str">
        <v>N/A</v>
      </c>
      <c r="H98">
        <v>175</v>
      </c>
      <c r="I98">
        <v>0</v>
      </c>
      <c r="J98" t="str">
        <v>Mythic</v>
      </c>
      <c r="K98">
        <f>IF(H98&gt;0, H98/U98, "N/A")</f>
        <v>29.16666667</v>
      </c>
      <c r="L98">
        <v>1.2</v>
      </c>
      <c r="M98" t="str">
        <v>N/A</v>
      </c>
      <c r="N98">
        <v>80</v>
      </c>
      <c r="O98" t="str">
        <v>N/A</v>
      </c>
      <c r="P98" t="str">
        <v>N/A</v>
      </c>
      <c r="Q98" t="str">
        <v>N/A</v>
      </c>
      <c r="R98" t="str">
        <v>N/A</v>
      </c>
      <c r="S98" t="str">
        <v>N/A</v>
      </c>
      <c r="T98">
        <v>90</v>
      </c>
      <c r="U98">
        <v>6</v>
      </c>
      <c r="V98" t="str">
        <v>N/A</v>
      </c>
      <c r="X98" t="str">
        <f>IFERROR(__xludf.DUMMYFUNCTION("""COMPUTED_VALUE"""),"F")</f>
        <v>F</v>
      </c>
      <c r="Y98" t="str">
        <v>Not in a provided crate</v>
      </c>
    </row>
    <row r="99">
      <c r="A99" t="str">
        <v>Surfer</v>
      </c>
      <c r="B99" t="str">
        <v>N/A</v>
      </c>
      <c r="C99" t="str">
        <v>Surfer</v>
      </c>
      <c r="D99" t="str">
        <v>https://placehold.co/60x60/cccccc/333333?text=S</v>
      </c>
      <c r="E99" t="str">
        <v>Tank</v>
      </c>
      <c r="F99" t="str">
        <v>N/A</v>
      </c>
      <c r="G99" t="str">
        <v>N/A</v>
      </c>
      <c r="H99">
        <v>25</v>
      </c>
      <c r="I99">
        <v>50</v>
      </c>
      <c r="J99" t="str">
        <v>Legendary</v>
      </c>
      <c r="K99">
        <f>IF(H99&gt;0, H99/U99, "N/A")</f>
        <v>12.5</v>
      </c>
      <c r="L99">
        <v>1.5</v>
      </c>
      <c r="M99" t="str">
        <v>N/A</v>
      </c>
      <c r="N99">
        <v>6</v>
      </c>
      <c r="O99" t="str">
        <v>N/A</v>
      </c>
      <c r="P99" t="str">
        <v>N/A</v>
      </c>
      <c r="Q99" t="str">
        <v>N/A</v>
      </c>
      <c r="R99" t="str">
        <v>N/A</v>
      </c>
      <c r="S99" t="str">
        <v>N/A</v>
      </c>
      <c r="T99">
        <v>1150</v>
      </c>
      <c r="U99">
        <v>2</v>
      </c>
      <c r="V99" t="str">
        <v>N/A</v>
      </c>
      <c r="X99" t="str">
        <f>IFERROR(__xludf.DUMMYFUNCTION("""COMPUTED_VALUE"""),"D")</f>
        <v>D</v>
      </c>
      <c r="Y99" t="str">
        <v>The Pirate Bay Crate</v>
      </c>
    </row>
    <row r="100">
      <c r="A100" t="str">
        <v>PirateSailorShooter</v>
      </c>
      <c r="B100" t="str">
        <v>N/A</v>
      </c>
      <c r="C100" t="str">
        <v>Sailor Shooter</v>
      </c>
      <c r="D100" t="str">
        <v>https://raw.githubusercontent.com/BlackDragon2435/UnitsBGWiki/main/assets/PirateSailorShooter_Uncommon.jpg</v>
      </c>
      <c r="E100" t="str">
        <v>Ranger</v>
      </c>
      <c r="F100" t="str">
        <v>N/A</v>
      </c>
      <c r="G100" t="str">
        <v>N/A</v>
      </c>
      <c r="H100">
        <v>12</v>
      </c>
      <c r="I100">
        <v>0</v>
      </c>
      <c r="J100" t="str">
        <v>Uncommon</v>
      </c>
      <c r="K100">
        <f>IF(H100&gt;0, H100/U100, "N/A")</f>
        <v>8</v>
      </c>
      <c r="L100" t="str">
        <v>N/A</v>
      </c>
      <c r="M100" t="str">
        <v>N/A</v>
      </c>
      <c r="N100">
        <v>25</v>
      </c>
      <c r="O100" t="str">
        <v>N/A</v>
      </c>
      <c r="P100" t="str">
        <v>N/A</v>
      </c>
      <c r="Q100" t="str">
        <v>N/A</v>
      </c>
      <c r="R100" t="str">
        <v>N/A</v>
      </c>
      <c r="S100" t="str">
        <v>N/A</v>
      </c>
      <c r="T100">
        <v>60</v>
      </c>
      <c r="U100">
        <v>1.5</v>
      </c>
      <c r="V100" t="str">
        <v>N/A</v>
      </c>
      <c r="X100" t="str">
        <f>IFERROR(__xludf.DUMMYFUNCTION("""COMPUTED_VALUE"""),"")</f>
        <v/>
      </c>
      <c r="Y100" t="str">
        <v>Not in a provided crate</v>
      </c>
    </row>
    <row r="101">
      <c r="A101" t="str">
        <v>CursedMagician</v>
      </c>
      <c r="B101" t="str">
        <v>N/A</v>
      </c>
      <c r="C101" t="str">
        <v>Cursed Magician</v>
      </c>
      <c r="D101" t="str">
        <v>https://raw.githubusercontent.com/BlackDragon2435/UnitsBGWiki/main/assets/CursedMagician_Epic.jpg</v>
      </c>
      <c r="E101" t="str">
        <v>Wizard</v>
      </c>
      <c r="F101" t="str">
        <v>N/A</v>
      </c>
      <c r="G101" t="str">
        <v>Poison</v>
      </c>
      <c r="H101">
        <v>22</v>
      </c>
      <c r="I101">
        <v>0</v>
      </c>
      <c r="J101" t="str">
        <v>Epic</v>
      </c>
      <c r="K101">
        <f>IF(H101&gt;0, H101/U101, "N/A")</f>
        <v>12.94117647</v>
      </c>
      <c r="L101" t="str">
        <v>N/A</v>
      </c>
      <c r="M101" t="str">
        <v>N/A</v>
      </c>
      <c r="N101">
        <v>20</v>
      </c>
      <c r="O101" t="str">
        <v>N/A</v>
      </c>
      <c r="P101" t="str">
        <v>N/A</v>
      </c>
      <c r="Q101" t="str">
        <v>Damage</v>
      </c>
      <c r="R101" t="str">
        <v>N/A</v>
      </c>
      <c r="S101" t="str">
        <v>Poison</v>
      </c>
      <c r="T101">
        <v>100</v>
      </c>
      <c r="U101">
        <v>1.7</v>
      </c>
      <c r="V101" t="str">
        <v>N/A</v>
      </c>
      <c r="X101" t="str">
        <f>IFERROR(__xludf.DUMMYFUNCTION("""COMPUTED_VALUE"""),"")</f>
        <v/>
      </c>
      <c r="Y101" t="str">
        <v>Not in a provided crate</v>
      </c>
    </row>
    <row r="102">
      <c r="A102" t="str">
        <v>SeaDevil</v>
      </c>
      <c r="B102">
        <v>0.015</v>
      </c>
      <c r="C102" t="str">
        <v>Sea Devil</v>
      </c>
      <c r="D102" t="str">
        <v>https://raw.githubusercontent.com/BlackDragon2435/UnitsBGWiki/main/assets/SeaDevil_Mythic.jpg</v>
      </c>
      <c r="E102" t="str">
        <v>Tank</v>
      </c>
      <c r="F102" t="str">
        <v>N/A</v>
      </c>
      <c r="G102" t="str">
        <v>Lifesteal</v>
      </c>
      <c r="H102">
        <v>70</v>
      </c>
      <c r="I102">
        <v>50</v>
      </c>
      <c r="J102" t="str">
        <v>Mythic</v>
      </c>
      <c r="K102">
        <f>IF(H102&gt;0, H102/U102, "N/A")</f>
        <v>46.66666667</v>
      </c>
      <c r="L102">
        <v>101</v>
      </c>
      <c r="M102">
        <v>0.01</v>
      </c>
      <c r="N102">
        <v>15</v>
      </c>
      <c r="O102" t="str">
        <v>N/A</v>
      </c>
      <c r="P102">
        <v>1.5</v>
      </c>
      <c r="Q102" t="str">
        <v>Lifesteal</v>
      </c>
      <c r="R102">
        <v>5</v>
      </c>
      <c r="S102" t="str">
        <v>Lifesteal</v>
      </c>
      <c r="T102">
        <v>1150</v>
      </c>
      <c r="U102">
        <v>1.5</v>
      </c>
      <c r="V102" t="str">
        <v>N/A</v>
      </c>
      <c r="X102" t="str">
        <f>IFERROR(__xludf.DUMMYFUNCTION("""COMPUTED_VALUE"""),"C")</f>
        <v>C</v>
      </c>
      <c r="Y102" t="str">
        <v>Not in a provided crate</v>
      </c>
    </row>
    <row r="103">
      <c r="A103" t="str">
        <v>Ent</v>
      </c>
      <c r="B103" t="str">
        <v>N/A</v>
      </c>
      <c r="C103" t="str">
        <v>Ent(BossUnit)</v>
      </c>
      <c r="D103" t="str">
        <v>https://placehold.co/60x60/cccccc/333333?text=E</v>
      </c>
      <c r="E103" t="str">
        <v>Tank</v>
      </c>
      <c r="F103" t="str">
        <v>N/A</v>
      </c>
      <c r="G103" t="str">
        <v>N/A</v>
      </c>
      <c r="H103">
        <v>150</v>
      </c>
      <c r="I103">
        <v>50</v>
      </c>
      <c r="J103" t="str">
        <v>Mythic</v>
      </c>
      <c r="K103">
        <f>IF(H103&gt;0, H103/U103, "N/A")</f>
        <v>60</v>
      </c>
      <c r="L103">
        <v>1.5</v>
      </c>
      <c r="M103" t="str">
        <v>N/A</v>
      </c>
      <c r="N103">
        <v>15</v>
      </c>
      <c r="O103" t="str">
        <v>N/A</v>
      </c>
      <c r="P103" t="str">
        <v>N/A</v>
      </c>
      <c r="Q103" t="str">
        <v>N/A</v>
      </c>
      <c r="R103" t="str">
        <v>N/A</v>
      </c>
      <c r="S103" t="str">
        <v>N/A</v>
      </c>
      <c r="T103">
        <v>4000</v>
      </c>
      <c r="U103">
        <v>2.5</v>
      </c>
      <c r="V103" t="str">
        <v>N/A</v>
      </c>
      <c r="X103" t="str">
        <f>IFERROR(__xludf.DUMMYFUNCTION("""COMPUTED_VALUE"""),"F")</f>
        <v>F</v>
      </c>
      <c r="Y103" t="str">
        <v>The Graveyard Crate</v>
      </c>
    </row>
    <row r="104">
      <c r="A104" t="str">
        <v>Zombie</v>
      </c>
      <c r="B104" t="str">
        <v>N/A</v>
      </c>
      <c r="C104" t="str">
        <v>Zombie</v>
      </c>
      <c r="D104" t="str">
        <v>https://raw.githubusercontent.com/BlackDragon2435/UnitsBGWiki/main/assets/Zombie_Uncommon.jpg</v>
      </c>
      <c r="E104" t="str">
        <v>Warrior</v>
      </c>
      <c r="F104" t="str">
        <v>N/A</v>
      </c>
      <c r="G104" t="str">
        <v>Poison</v>
      </c>
      <c r="H104">
        <v>8</v>
      </c>
      <c r="I104">
        <v>0</v>
      </c>
      <c r="J104" t="str">
        <v>Uncommon</v>
      </c>
      <c r="K104">
        <f>IF(H104&gt;0, H104/U104, "N/A")</f>
        <v>10</v>
      </c>
      <c r="L104" t="str">
        <v>N/A</v>
      </c>
      <c r="M104" t="str">
        <v>N/A</v>
      </c>
      <c r="N104">
        <v>5</v>
      </c>
      <c r="O104" t="str">
        <v>N/A</v>
      </c>
      <c r="P104" t="str">
        <v>N/A</v>
      </c>
      <c r="Q104" t="str">
        <v>Damage</v>
      </c>
      <c r="R104" t="str">
        <v>N/A</v>
      </c>
      <c r="S104" t="str">
        <v>Poison</v>
      </c>
      <c r="T104">
        <v>130</v>
      </c>
      <c r="U104">
        <v>0.8</v>
      </c>
      <c r="V104" t="str">
        <v>N/A</v>
      </c>
      <c r="X104" t="str">
        <f>IFERROR(__xludf.DUMMYFUNCTION("""COMPUTED_VALUE"""),"")</f>
        <v/>
      </c>
      <c r="Y104" t="str">
        <v>Beginner box #1</v>
      </c>
    </row>
    <row r="105">
      <c r="A105" t="str">
        <v>Noob</v>
      </c>
      <c r="B105" t="str">
        <v>N/A</v>
      </c>
      <c r="C105" t="str">
        <v>Noob</v>
      </c>
      <c r="D105" t="str">
        <v>https://placehold.co/60x60/cccccc/333333?text=N</v>
      </c>
      <c r="E105" t="str">
        <v>Warrior</v>
      </c>
      <c r="F105" t="str">
        <v>N/A</v>
      </c>
      <c r="G105" t="str">
        <v>N/A</v>
      </c>
      <c r="H105">
        <v>5</v>
      </c>
      <c r="I105">
        <v>0</v>
      </c>
      <c r="J105" t="str">
        <v>Common</v>
      </c>
      <c r="K105">
        <f>IF(H105&gt;0, H105/U105, "N/A")</f>
        <v>5</v>
      </c>
      <c r="L105" t="str">
        <v>N/A</v>
      </c>
      <c r="M105" t="str">
        <v>N/A</v>
      </c>
      <c r="N105">
        <v>6</v>
      </c>
      <c r="O105" t="str">
        <v>N/A</v>
      </c>
      <c r="P105" t="str">
        <v>N/A</v>
      </c>
      <c r="Q105" t="str">
        <v>N/A</v>
      </c>
      <c r="R105" t="str">
        <v>N/A</v>
      </c>
      <c r="S105" t="str">
        <v>N/A</v>
      </c>
      <c r="T105">
        <v>70</v>
      </c>
      <c r="U105">
        <v>1</v>
      </c>
      <c r="V105" t="str">
        <v>N/A</v>
      </c>
      <c r="X105" t="str">
        <f>IFERROR(__xludf.DUMMYFUNCTION("""COMPUTED_VALUE"""),"F")</f>
        <v>F</v>
      </c>
      <c r="Y105" t="str">
        <v>Crystal crate #3, Crystal crate #2, Crystal crate #1, Crystal crate #4</v>
      </c>
    </row>
    <row r="106">
      <c r="A106" t="str">
        <v>Necromancer</v>
      </c>
      <c r="B106" t="str">
        <v>N/A</v>
      </c>
      <c r="C106" t="str">
        <v>Necromancer</v>
      </c>
      <c r="D106" t="str">
        <v>https://raw.githubusercontent.com/BlackDragon2435/UnitsBGWiki/main/assets/Necromancer_Mythic.jpg</v>
      </c>
      <c r="E106" t="str">
        <v>Summoner</v>
      </c>
      <c r="F106" t="str">
        <v>N/A</v>
      </c>
      <c r="G106" t="str">
        <v>N/A</v>
      </c>
      <c r="H106">
        <v>0</v>
      </c>
      <c r="I106">
        <v>0</v>
      </c>
      <c r="J106" t="str">
        <v>Mythic</v>
      </c>
      <c r="K106" t="str">
        <f>IF(H106&gt;0, H106/U106, "N/A")</f>
        <v>N/A</v>
      </c>
      <c r="L106" t="str">
        <v>N/A</v>
      </c>
      <c r="M106" t="str">
        <v>N/A</v>
      </c>
      <c r="N106">
        <v>10</v>
      </c>
      <c r="O106" t="str">
        <v>N/A</v>
      </c>
      <c r="P106" t="str">
        <v>N/A</v>
      </c>
      <c r="Q106" t="str">
        <v>N/A</v>
      </c>
      <c r="R106" t="str">
        <v>N/A</v>
      </c>
      <c r="S106" t="str">
        <v>N/A</v>
      </c>
      <c r="T106">
        <v>150</v>
      </c>
      <c r="U106">
        <v>3.25</v>
      </c>
      <c r="V106" t="str">
        <v>N/A</v>
      </c>
      <c r="X106" t="str">
        <f>IFERROR(__xludf.DUMMYFUNCTION("""COMPUTED_VALUE"""),"")</f>
        <v/>
      </c>
      <c r="Y106" t="str">
        <v>Not in a provided crate</v>
      </c>
    </row>
    <row r="107">
      <c r="A107" t="str">
        <v>AncientVampire</v>
      </c>
      <c r="B107">
        <v>0.45</v>
      </c>
      <c r="C107" t="str">
        <v>Ancient Vampire (Personal)</v>
      </c>
      <c r="D107" t="str">
        <v>https://raw.githubusercontent.com/BlackDragon2435/UnitsBGWiki/main/assets/AncientVampire_Demonic.jpg</v>
      </c>
      <c r="E107" t="str">
        <v>Assassin</v>
      </c>
      <c r="F107">
        <v>25</v>
      </c>
      <c r="G107" t="str">
        <v>Lifesteal</v>
      </c>
      <c r="H107">
        <v>50</v>
      </c>
      <c r="I107">
        <v>0</v>
      </c>
      <c r="J107" t="str">
        <v>Demonic</v>
      </c>
      <c r="K107">
        <f>IF(H107&gt;0, H107/U107, "N/A")</f>
        <v>66.66666667</v>
      </c>
      <c r="L107">
        <v>101</v>
      </c>
      <c r="M107">
        <v>0.35</v>
      </c>
      <c r="N107">
        <v>6</v>
      </c>
      <c r="O107">
        <v>30</v>
      </c>
      <c r="P107">
        <v>2.3</v>
      </c>
      <c r="Q107" t="str">
        <v>Lifesteal</v>
      </c>
      <c r="R107">
        <v>35</v>
      </c>
      <c r="S107" t="str">
        <v>Lifesteal</v>
      </c>
      <c r="T107">
        <v>400</v>
      </c>
      <c r="U107">
        <v>0.75</v>
      </c>
      <c r="V107">
        <v>1</v>
      </c>
      <c r="X107" t="str">
        <f>IFERROR(__xludf.DUMMYFUNCTION("""COMPUTED_VALUE"""),"S")</f>
        <v>S</v>
      </c>
      <c r="Y107" t="str">
        <v>Not in a provided crate</v>
      </c>
    </row>
    <row r="108">
      <c r="A108" t="str">
        <v>ChristmasElfSwordman</v>
      </c>
      <c r="B108" t="str">
        <v>N/A</v>
      </c>
      <c r="C108" t="str">
        <v>Christmas Elf Swordman</v>
      </c>
      <c r="D108" t="str">
        <v>https://raw.githubusercontent.com/BlackDragon2435/UnitsBGWiki/main/assets/ChristmasElfSwordman_Legendary.jpg</v>
      </c>
      <c r="E108" t="str">
        <v>Warrior</v>
      </c>
      <c r="F108" t="str">
        <v>N/A</v>
      </c>
      <c r="G108" t="str">
        <v>N/A</v>
      </c>
      <c r="H108">
        <v>50</v>
      </c>
      <c r="I108">
        <v>0</v>
      </c>
      <c r="J108" t="str">
        <v>Legendary</v>
      </c>
      <c r="K108">
        <f>IF(H108&gt;0, H108/U108, "N/A")</f>
        <v>33.33333333</v>
      </c>
      <c r="L108" t="str">
        <v>N/A</v>
      </c>
      <c r="M108" t="str">
        <v>N/A</v>
      </c>
      <c r="N108">
        <v>10</v>
      </c>
      <c r="O108" t="str">
        <v>N/A</v>
      </c>
      <c r="P108" t="str">
        <v>N/A</v>
      </c>
      <c r="Q108" t="str">
        <v>N/A</v>
      </c>
      <c r="R108" t="str">
        <v>N/A</v>
      </c>
      <c r="S108" t="str">
        <v>N/A</v>
      </c>
      <c r="T108">
        <v>500</v>
      </c>
      <c r="U108">
        <v>1.5</v>
      </c>
      <c r="V108" t="str">
        <v>N/A</v>
      </c>
      <c r="X108" t="str">
        <f>IFERROR(__xludf.DUMMYFUNCTION("""COMPUTED_VALUE"""),"")</f>
        <v/>
      </c>
      <c r="Y108" t="str">
        <v>Not in a provided crate</v>
      </c>
    </row>
    <row r="109">
      <c r="A109" t="str">
        <v>Ninja</v>
      </c>
      <c r="B109">
        <v>0.2</v>
      </c>
      <c r="C109" t="str">
        <v>Ninja</v>
      </c>
      <c r="D109" t="str">
        <v>https://placehold.co/60x60/cccccc/333333?text=N</v>
      </c>
      <c r="E109" t="str">
        <v>Assassin</v>
      </c>
      <c r="F109" t="str">
        <v>N/A</v>
      </c>
      <c r="G109" t="str">
        <v>N/A</v>
      </c>
      <c r="H109">
        <v>30</v>
      </c>
      <c r="I109">
        <v>0</v>
      </c>
      <c r="J109" t="str">
        <v>Legendary</v>
      </c>
      <c r="K109">
        <f>IF(H109&gt;0, H109/U109, "N/A")</f>
        <v>37.5</v>
      </c>
      <c r="L109" t="str">
        <v>N/A</v>
      </c>
      <c r="M109">
        <v>0.15</v>
      </c>
      <c r="N109">
        <v>20</v>
      </c>
      <c r="O109" t="str">
        <v>N/A</v>
      </c>
      <c r="P109" t="str">
        <v>N/A</v>
      </c>
      <c r="Q109" t="str">
        <v>N/A</v>
      </c>
      <c r="R109" t="str">
        <v>N/A</v>
      </c>
      <c r="S109" t="str">
        <v>N/A</v>
      </c>
      <c r="T109">
        <v>110</v>
      </c>
      <c r="U109">
        <v>0.8</v>
      </c>
      <c r="V109" t="str">
        <v>N/A</v>
      </c>
      <c r="X109" t="str">
        <f>IFERROR(__xludf.DUMMYFUNCTION("""COMPUTED_VALUE"""),"")</f>
        <v/>
      </c>
      <c r="Y109" t="str">
        <v>Crystal crate #3, Crystal crate #2, Crystal crate #1, Crystal crate #4, Mythic box</v>
      </c>
    </row>
    <row r="110">
      <c r="A110" t="str">
        <v>CageMan</v>
      </c>
      <c r="B110" t="str">
        <v>N/A</v>
      </c>
      <c r="C110" t="str">
        <v>Cage Man</v>
      </c>
      <c r="D110" t="str">
        <v>https://raw.githubusercontent.com/BlackDragon2435/UnitsBGWiki/main/assets/CageMan_Mythic.jpg</v>
      </c>
      <c r="E110" t="str">
        <v>Wizard</v>
      </c>
      <c r="F110" t="str">
        <v>N/A</v>
      </c>
      <c r="G110" t="str">
        <v>N/A</v>
      </c>
      <c r="H110">
        <v>35</v>
      </c>
      <c r="I110">
        <v>0</v>
      </c>
      <c r="J110" t="str">
        <v>Mythic</v>
      </c>
      <c r="K110">
        <f>IF(H110&gt;0, H110/U110, "N/A")</f>
        <v>7</v>
      </c>
      <c r="L110" t="str">
        <v>N/A</v>
      </c>
      <c r="M110" t="str">
        <v>N/A</v>
      </c>
      <c r="N110">
        <v>30</v>
      </c>
      <c r="O110" t="str">
        <v>N/A</v>
      </c>
      <c r="P110" t="str">
        <v>N/A</v>
      </c>
      <c r="Q110" t="str">
        <v>N/A</v>
      </c>
      <c r="R110" t="str">
        <v>N/A</v>
      </c>
      <c r="S110" t="str">
        <v>N/A</v>
      </c>
      <c r="T110">
        <v>260</v>
      </c>
      <c r="U110">
        <v>5</v>
      </c>
      <c r="V110" t="str">
        <v>N/A</v>
      </c>
      <c r="X110" t="str">
        <f>IFERROR(__xludf.DUMMYFUNCTION("""COMPUTED_VALUE"""),"")</f>
        <v/>
      </c>
      <c r="Y110" t="str">
        <v>Crystal crate #3, Crystal crate #4</v>
      </c>
    </row>
    <row r="111">
      <c r="A111" t="str">
        <v>DwarfTank</v>
      </c>
      <c r="B111" t="str">
        <v>N/A</v>
      </c>
      <c r="C111" t="str">
        <v>Dwarf Tank</v>
      </c>
      <c r="D111" t="str">
        <v>https://placehold.co/60x60/cccccc/333333?text=DT</v>
      </c>
      <c r="E111" t="str">
        <v>Tank</v>
      </c>
      <c r="F111" t="str">
        <v>N/A</v>
      </c>
      <c r="G111" t="str">
        <v>N/A</v>
      </c>
      <c r="H111">
        <v>20</v>
      </c>
      <c r="I111">
        <v>0</v>
      </c>
      <c r="J111" t="str">
        <v>Legendary</v>
      </c>
      <c r="K111">
        <f>IF(H111&gt;0, H111/U111, "N/A")</f>
        <v>13.33333333</v>
      </c>
      <c r="L111" t="str">
        <v>N/A</v>
      </c>
      <c r="M111" t="str">
        <v>N/A</v>
      </c>
      <c r="N111">
        <v>6</v>
      </c>
      <c r="O111" t="str">
        <v>N/A</v>
      </c>
      <c r="P111" t="str">
        <v>N/A</v>
      </c>
      <c r="Q111" t="str">
        <v>N/A</v>
      </c>
      <c r="R111" t="str">
        <v>N/A</v>
      </c>
      <c r="S111" t="str">
        <v>N/A</v>
      </c>
      <c r="T111">
        <v>1000</v>
      </c>
      <c r="U111">
        <v>1.5</v>
      </c>
      <c r="V111" t="str">
        <v>N/A</v>
      </c>
      <c r="X111" t="str">
        <f>IFERROR(__xludf.DUMMYFUNCTION("""COMPUTED_VALUE"""),"C")</f>
        <v>C</v>
      </c>
      <c r="Y111" t="str">
        <v>The Elven Forest Crate</v>
      </c>
    </row>
    <row r="112">
      <c r="A112" t="str">
        <v>EntSmall</v>
      </c>
      <c r="B112" t="str">
        <v>N/A</v>
      </c>
      <c r="C112" t="str">
        <v>Ent(Normal)</v>
      </c>
      <c r="D112" t="str">
        <v>https://raw.githubusercontent.com/BlackDragon2435/UnitsBGWiki/main/assets/EntSmall_Mythic.jpg</v>
      </c>
      <c r="E112" t="str">
        <v>Tank</v>
      </c>
      <c r="F112" t="str">
        <v>N/A</v>
      </c>
      <c r="G112" t="str">
        <v>N/A</v>
      </c>
      <c r="H112">
        <v>50</v>
      </c>
      <c r="I112">
        <v>50</v>
      </c>
      <c r="J112" t="str">
        <v>Mythic</v>
      </c>
      <c r="K112">
        <f>IF(H112&gt;0, H112/U112, "N/A")</f>
        <v>22.22222222</v>
      </c>
      <c r="L112" t="str">
        <v>N/A</v>
      </c>
      <c r="M112" t="str">
        <v>N/A</v>
      </c>
      <c r="N112">
        <v>7</v>
      </c>
      <c r="O112" t="str">
        <v>N/A</v>
      </c>
      <c r="P112" t="str">
        <v>N/A</v>
      </c>
      <c r="Q112" t="str">
        <v>N/A</v>
      </c>
      <c r="R112" t="str">
        <v>N/A</v>
      </c>
      <c r="S112" t="str">
        <v>N/A</v>
      </c>
      <c r="T112">
        <v>1200</v>
      </c>
      <c r="U112">
        <v>2.25</v>
      </c>
      <c r="V112" t="str">
        <v>N/A</v>
      </c>
      <c r="X112" t="str">
        <f>IFERROR(__xludf.DUMMYFUNCTION("""COMPUTED_VALUE"""),"C")</f>
        <v>C</v>
      </c>
      <c r="Y112" t="str">
        <v>The Elven Forest Crate</v>
      </c>
    </row>
    <row r="113">
      <c r="A113" t="str">
        <v>Demolitionist</v>
      </c>
      <c r="B113" t="str">
        <v>N/A</v>
      </c>
      <c r="C113" t="str">
        <v>Demolitionist</v>
      </c>
      <c r="D113" t="str">
        <v>https://placehold.co/60x60/cccccc/333333?text=D</v>
      </c>
      <c r="E113" t="str">
        <v>Ranger</v>
      </c>
      <c r="F113" t="str">
        <v>N/A</v>
      </c>
      <c r="G113" t="str">
        <v>Fire</v>
      </c>
      <c r="H113">
        <v>40</v>
      </c>
      <c r="I113">
        <v>0</v>
      </c>
      <c r="J113" t="str">
        <v>Legendary</v>
      </c>
      <c r="K113">
        <f>IF(H113&gt;0, H113/U113, "N/A")</f>
        <v>20</v>
      </c>
      <c r="L113" t="str">
        <v>N/A</v>
      </c>
      <c r="M113" t="str">
        <v>N/A</v>
      </c>
      <c r="N113">
        <v>22</v>
      </c>
      <c r="O113" t="str">
        <v>N/A</v>
      </c>
      <c r="P113" t="str">
        <v>N/A</v>
      </c>
      <c r="Q113" t="str">
        <v>Damage</v>
      </c>
      <c r="R113" t="str">
        <v>N/A</v>
      </c>
      <c r="S113" t="str">
        <v>BurnBomb</v>
      </c>
      <c r="T113">
        <v>90</v>
      </c>
      <c r="U113">
        <v>2</v>
      </c>
      <c r="V113" t="str">
        <v>N/A</v>
      </c>
      <c r="X113" t="str">
        <f>IFERROR(__xludf.DUMMYFUNCTION("""COMPUTED_VALUE"""),"")</f>
        <v/>
      </c>
      <c r="Y113" t="str">
        <v>Crystal crate #3, Crystal crate #2, Crystal crate #1, Crystal crate #4, Mythic box</v>
      </c>
    </row>
    <row r="114">
      <c r="A114" t="str">
        <v>EarthWizard</v>
      </c>
      <c r="B114" t="str">
        <v>N/A</v>
      </c>
      <c r="C114" t="str">
        <v>Earth Wizard</v>
      </c>
      <c r="D114" t="str">
        <v>https://placehold.co/60x60/cccccc/333333?text=EW</v>
      </c>
      <c r="E114" t="str">
        <v>Wizard</v>
      </c>
      <c r="F114" t="str">
        <v>N/A</v>
      </c>
      <c r="G114" t="str">
        <v>N/A</v>
      </c>
      <c r="H114">
        <v>25</v>
      </c>
      <c r="I114">
        <v>0</v>
      </c>
      <c r="J114" t="str">
        <v>Legendary</v>
      </c>
      <c r="K114">
        <f>IF(H114&gt;0, H114/U114, "N/A")</f>
        <v>6.25</v>
      </c>
      <c r="L114" t="str">
        <v>N/A</v>
      </c>
      <c r="M114" t="str">
        <v>N/A</v>
      </c>
      <c r="N114">
        <v>30</v>
      </c>
      <c r="O114" t="str">
        <v>N/A</v>
      </c>
      <c r="P114" t="str">
        <v>N/A</v>
      </c>
      <c r="Q114" t="str">
        <v>N/A</v>
      </c>
      <c r="R114" t="str">
        <v>N/A</v>
      </c>
      <c r="S114" t="str">
        <v>N/A</v>
      </c>
      <c r="T114">
        <v>260</v>
      </c>
      <c r="U114">
        <v>4</v>
      </c>
      <c r="V114" t="str">
        <v>N/A</v>
      </c>
      <c r="X114" t="str">
        <f>IFERROR(__xludf.DUMMYFUNCTION("""COMPUTED_VALUE"""),"")</f>
        <v/>
      </c>
      <c r="Y114" t="str">
        <v>The Wizard Tower Crate</v>
      </c>
    </row>
    <row r="115">
      <c r="A115" t="str">
        <v>CrossbowMan</v>
      </c>
      <c r="B115" t="str">
        <v>N/A</v>
      </c>
      <c r="C115" t="str">
        <v>Crossbow</v>
      </c>
      <c r="D115" t="str">
        <v>https://raw.githubusercontent.com/BlackDragon2435/UnitsBGWiki/main/assets/CrossbowMan_Rare.jpg</v>
      </c>
      <c r="E115" t="str">
        <v>Ranger</v>
      </c>
      <c r="F115" t="str">
        <v>N/A</v>
      </c>
      <c r="G115" t="str">
        <v>N/A</v>
      </c>
      <c r="H115">
        <v>35</v>
      </c>
      <c r="I115">
        <v>0</v>
      </c>
      <c r="J115" t="str">
        <v>Rare</v>
      </c>
      <c r="K115">
        <f>IF(H115&gt;0, H115/U115, "N/A")</f>
        <v>11.66666667</v>
      </c>
      <c r="L115" t="str">
        <v>N/A</v>
      </c>
      <c r="M115" t="str">
        <v>N/A</v>
      </c>
      <c r="N115">
        <v>35</v>
      </c>
      <c r="O115" t="str">
        <v>N/A</v>
      </c>
      <c r="P115" t="str">
        <v>N/A</v>
      </c>
      <c r="Q115" t="str">
        <v>N/A</v>
      </c>
      <c r="R115" t="str">
        <v>N/A</v>
      </c>
      <c r="S115" t="str">
        <v>N/A</v>
      </c>
      <c r="T115">
        <v>80</v>
      </c>
      <c r="U115">
        <v>3</v>
      </c>
      <c r="V115" t="str">
        <v>N/A</v>
      </c>
      <c r="X115" t="str">
        <f>IFERROR(__xludf.DUMMYFUNCTION("""COMPUTED_VALUE"""),"")</f>
        <v/>
      </c>
      <c r="Y115" t="str">
        <v>Crystal crate #1</v>
      </c>
    </row>
    <row r="116">
      <c r="A116" t="str">
        <v>Ghoul</v>
      </c>
      <c r="B116" t="str">
        <v>N/A</v>
      </c>
      <c r="C116" t="str">
        <v>Ghoul</v>
      </c>
      <c r="D116" t="str">
        <v>https://placehold.co/60x60/cccccc/333333?text=G</v>
      </c>
      <c r="E116" t="str">
        <v>Warrior</v>
      </c>
      <c r="F116" t="str">
        <v>N/A</v>
      </c>
      <c r="G116" t="str">
        <v>Lifesteal</v>
      </c>
      <c r="H116">
        <v>16</v>
      </c>
      <c r="I116">
        <v>0</v>
      </c>
      <c r="J116" t="str">
        <v>Legendary</v>
      </c>
      <c r="K116">
        <f>IF(H116&gt;0, H116/U116, "N/A")</f>
        <v>26.66666667</v>
      </c>
      <c r="L116" t="str">
        <v>N/A</v>
      </c>
      <c r="M116" t="str">
        <v>N/A</v>
      </c>
      <c r="N116">
        <v>5</v>
      </c>
      <c r="O116" t="str">
        <v>N/A</v>
      </c>
      <c r="P116" t="str">
        <v>N/A</v>
      </c>
      <c r="Q116" t="str">
        <v>Lifesteal</v>
      </c>
      <c r="R116">
        <v>7</v>
      </c>
      <c r="S116" t="str">
        <v>Lifesteal</v>
      </c>
      <c r="T116">
        <v>320</v>
      </c>
      <c r="U116">
        <v>0.6</v>
      </c>
      <c r="V116" t="str">
        <v>N/A</v>
      </c>
      <c r="X116" t="str">
        <f>IFERROR(__xludf.DUMMYFUNCTION("""COMPUTED_VALUE"""),"")</f>
        <v/>
      </c>
      <c r="Y116" t="str">
        <v>Not in a provided crate</v>
      </c>
    </row>
    <row r="117">
      <c r="A117" t="str">
        <v>SpookyGhost</v>
      </c>
      <c r="B117" t="str">
        <v>N/A</v>
      </c>
      <c r="C117" t="str">
        <v>Spooky Ghost</v>
      </c>
      <c r="D117" t="str">
        <v>https://raw.githubusercontent.com/BlackDragon2435/UnitsBGWiki/main/assets/SpookyGhost_Epic.jpg</v>
      </c>
      <c r="E117" t="str">
        <v>Wizard</v>
      </c>
      <c r="F117" t="str">
        <v>N/A</v>
      </c>
      <c r="G117" t="str">
        <v>Frost</v>
      </c>
      <c r="H117">
        <v>15</v>
      </c>
      <c r="I117">
        <v>0</v>
      </c>
      <c r="J117" t="str">
        <v>Epic</v>
      </c>
      <c r="K117">
        <f>IF(H117&gt;0, H117/U117, "N/A")</f>
        <v>7.5</v>
      </c>
      <c r="L117" t="str">
        <v>N/A</v>
      </c>
      <c r="M117" t="str">
        <v>N/A</v>
      </c>
      <c r="N117">
        <v>30</v>
      </c>
      <c r="O117" t="str">
        <v>N/A</v>
      </c>
      <c r="P117" t="str">
        <v>N/A</v>
      </c>
      <c r="Q117" t="str">
        <v>Slow</v>
      </c>
      <c r="R117" t="str">
        <v>N/A</v>
      </c>
      <c r="S117" t="str">
        <v>Slow</v>
      </c>
      <c r="T117">
        <v>140</v>
      </c>
      <c r="U117">
        <v>2</v>
      </c>
      <c r="V117" t="str">
        <v>N/A</v>
      </c>
      <c r="X117" t="str">
        <f>IFERROR(__xludf.DUMMYFUNCTION("""COMPUTED_VALUE"""),"")</f>
        <v/>
      </c>
      <c r="Y117" t="str">
        <v>Not in a provided crate</v>
      </c>
    </row>
    <row r="118">
      <c r="A118" t="str">
        <v>SkeletonTank</v>
      </c>
      <c r="B118" t="str">
        <v>N/A</v>
      </c>
      <c r="C118" t="str">
        <v>Skeleton Tank</v>
      </c>
      <c r="D118" t="str">
        <v>https://raw.githubusercontent.com/BlackDragon2435/UnitsBGWiki/main/assets/SkeletonTank_Rare.jpg</v>
      </c>
      <c r="E118" t="str">
        <v>Tank</v>
      </c>
      <c r="F118" t="str">
        <v>N/A</v>
      </c>
      <c r="G118" t="str">
        <v>N/A</v>
      </c>
      <c r="H118">
        <v>30</v>
      </c>
      <c r="I118">
        <v>0</v>
      </c>
      <c r="J118" t="str">
        <v>Rare</v>
      </c>
      <c r="K118">
        <f>IF(H118&gt;0, H118/U118, "N/A")</f>
        <v>17.64705882</v>
      </c>
      <c r="L118" t="str">
        <v>N/A</v>
      </c>
      <c r="M118" t="str">
        <v>N/A</v>
      </c>
      <c r="N118">
        <v>5</v>
      </c>
      <c r="O118" t="str">
        <v>N/A</v>
      </c>
      <c r="P118" t="str">
        <v>N/A</v>
      </c>
      <c r="Q118" t="str">
        <v>N/A</v>
      </c>
      <c r="R118" t="str">
        <v>N/A</v>
      </c>
      <c r="S118" t="str">
        <v>N/A</v>
      </c>
      <c r="T118">
        <v>500</v>
      </c>
      <c r="U118">
        <v>1.7</v>
      </c>
      <c r="V118" t="str">
        <v>N/A</v>
      </c>
      <c r="X118" t="str">
        <f>IFERROR(__xludf.DUMMYFUNCTION("""COMPUTED_VALUE"""),"")</f>
        <v/>
      </c>
      <c r="Y118" t="str">
        <v>The Graveyard Crate</v>
      </c>
    </row>
    <row r="119">
      <c r="A119" t="str">
        <v>DragonKnight</v>
      </c>
      <c r="B119">
        <v>0.015</v>
      </c>
      <c r="C119" t="str">
        <v>Dragon Knight</v>
      </c>
      <c r="D119" t="str">
        <v>https://raw.githubusercontent.com/BlackDragon2435/UnitsBGWiki/main/assets/DragonKnight_Legendary.jpg</v>
      </c>
      <c r="E119" t="str">
        <v>Tank</v>
      </c>
      <c r="F119" t="str">
        <v>N/A</v>
      </c>
      <c r="G119" t="str">
        <v>Lifesteal</v>
      </c>
      <c r="H119">
        <v>30</v>
      </c>
      <c r="I119">
        <v>50</v>
      </c>
      <c r="J119" t="str">
        <v>Legendary</v>
      </c>
      <c r="K119">
        <f>IF(H119&gt;0, H119/U119, "N/A")</f>
        <v>19.35483871</v>
      </c>
      <c r="L119">
        <v>101</v>
      </c>
      <c r="M119">
        <v>0.01</v>
      </c>
      <c r="N119">
        <v>5</v>
      </c>
      <c r="O119" t="str">
        <v>N/A</v>
      </c>
      <c r="P119">
        <v>1.5</v>
      </c>
      <c r="Q119" t="str">
        <v>Lifesteal</v>
      </c>
      <c r="R119">
        <v>10</v>
      </c>
      <c r="S119" t="str">
        <v>Lifesteal</v>
      </c>
      <c r="T119">
        <v>800</v>
      </c>
      <c r="U119">
        <v>1.55</v>
      </c>
      <c r="V119" t="str">
        <v>N/A</v>
      </c>
      <c r="X119" t="str">
        <f>IFERROR(__xludf.DUMMYFUNCTION("""COMPUTED_VALUE"""),"D")</f>
        <v>D</v>
      </c>
      <c r="Y119" t="str">
        <v>The Crimson Nest Crate</v>
      </c>
    </row>
    <row r="120">
      <c r="A120" t="str">
        <v>ChristmasElfArcher</v>
      </c>
      <c r="B120" t="str">
        <v>N/A</v>
      </c>
      <c r="C120" t="str">
        <v>Christmas Elf Archer</v>
      </c>
      <c r="D120" t="str">
        <v>https://raw.githubusercontent.com/BlackDragon2435/UnitsBGWiki/main/assets/ChristmasElfArcher_Legendary.jpg</v>
      </c>
      <c r="E120" t="str">
        <v>Ranger</v>
      </c>
      <c r="F120" t="str">
        <v>N/A</v>
      </c>
      <c r="G120" t="str">
        <v>N/A</v>
      </c>
      <c r="H120">
        <v>40</v>
      </c>
      <c r="I120">
        <v>0</v>
      </c>
      <c r="J120" t="str">
        <v>Legendary</v>
      </c>
      <c r="K120">
        <f>IF(H120&gt;0, H120/U120, "N/A")</f>
        <v>33.33333333</v>
      </c>
      <c r="L120" t="str">
        <v>N/A</v>
      </c>
      <c r="M120" t="str">
        <v>N/A</v>
      </c>
      <c r="N120">
        <v>45</v>
      </c>
      <c r="O120" t="str">
        <v>N/A</v>
      </c>
      <c r="P120" t="str">
        <v>N/A</v>
      </c>
      <c r="Q120" t="str">
        <v>N/A</v>
      </c>
      <c r="R120" t="str">
        <v>N/A</v>
      </c>
      <c r="S120" t="str">
        <v>N/A</v>
      </c>
      <c r="T120">
        <v>70</v>
      </c>
      <c r="U120">
        <v>1.2</v>
      </c>
      <c r="V120" t="str">
        <v>N/A</v>
      </c>
      <c r="X120" t="str">
        <f>IFERROR(__xludf.DUMMYFUNCTION("""COMPUTED_VALUE"""),"")</f>
        <v/>
      </c>
      <c r="Y120" t="str">
        <v>Not in a provided crate</v>
      </c>
    </row>
    <row r="121">
      <c r="A121" t="str">
        <v>MadScientist</v>
      </c>
      <c r="B121" t="str">
        <v>N/A</v>
      </c>
      <c r="C121" t="str">
        <v>Mad Scientist</v>
      </c>
      <c r="D121" t="str">
        <v>https://placehold.co/60x60/cccccc/333333?text=MS</v>
      </c>
      <c r="E121" t="str">
        <v>Support</v>
      </c>
      <c r="F121" t="str">
        <v>N/A</v>
      </c>
      <c r="G121" t="str">
        <v>Bard</v>
      </c>
      <c r="H121">
        <v>0</v>
      </c>
      <c r="I121">
        <v>0</v>
      </c>
      <c r="J121" t="str">
        <v>Legendary</v>
      </c>
      <c r="K121" t="str">
        <f>IF(H121&gt;0, H121/U121, "N/A")</f>
        <v>N/A</v>
      </c>
      <c r="L121" t="str">
        <v>N/A</v>
      </c>
      <c r="M121" t="str">
        <v>N/A</v>
      </c>
      <c r="N121">
        <v>70</v>
      </c>
      <c r="O121" t="str">
        <v>N/A</v>
      </c>
      <c r="P121" t="str">
        <v>N/A</v>
      </c>
      <c r="Q121" t="str">
        <v>Bard</v>
      </c>
      <c r="R121" t="str">
        <v>N/A</v>
      </c>
      <c r="S121" t="str">
        <v>Bard</v>
      </c>
      <c r="T121">
        <v>80</v>
      </c>
      <c r="U121">
        <v>6</v>
      </c>
      <c r="V121" t="str">
        <v>N/A</v>
      </c>
      <c r="X121" t="str">
        <f>IFERROR(__xludf.DUMMYFUNCTION("""COMPUTED_VALUE"""),"")</f>
        <v/>
      </c>
      <c r="Y121" t="str">
        <v>Not in a provided crate</v>
      </c>
    </row>
    <row r="122">
      <c r="A122" t="str">
        <v>SkeletonWarrior</v>
      </c>
      <c r="B122" t="str">
        <v>N/A</v>
      </c>
      <c r="C122" t="str">
        <v>Skeleton Warrior</v>
      </c>
      <c r="D122" t="str">
        <v>https://raw.githubusercontent.com/BlackDragon2435/UnitsBGWiki/main/assets/SkeletonWarrior_Uncommon.jpg</v>
      </c>
      <c r="E122" t="str">
        <v>Warrior</v>
      </c>
      <c r="F122" t="str">
        <v>N/A</v>
      </c>
      <c r="G122" t="str">
        <v>N/A</v>
      </c>
      <c r="H122">
        <v>13</v>
      </c>
      <c r="I122">
        <v>0</v>
      </c>
      <c r="J122" t="str">
        <v>Uncommon</v>
      </c>
      <c r="K122">
        <f>IF(H122&gt;0, H122/U122, "N/A")</f>
        <v>13</v>
      </c>
      <c r="L122" t="str">
        <v>N/A</v>
      </c>
      <c r="M122" t="str">
        <v>N/A</v>
      </c>
      <c r="N122">
        <v>5</v>
      </c>
      <c r="O122" t="str">
        <v>N/A</v>
      </c>
      <c r="P122" t="str">
        <v>N/A</v>
      </c>
      <c r="Q122" t="str">
        <v>N/A</v>
      </c>
      <c r="R122" t="str">
        <v>N/A</v>
      </c>
      <c r="S122" t="str">
        <v>N/A</v>
      </c>
      <c r="T122">
        <v>140</v>
      </c>
      <c r="U122">
        <v>1</v>
      </c>
      <c r="V122" t="str">
        <v>N/A</v>
      </c>
      <c r="X122" t="str">
        <f>IFERROR(__xludf.DUMMYFUNCTION("""COMPUTED_VALUE"""),"")</f>
        <v/>
      </c>
      <c r="Y122" t="str">
        <v>The Graveyard Crate</v>
      </c>
    </row>
    <row r="123">
      <c r="A123" t="str">
        <v>Samurai</v>
      </c>
      <c r="B123" t="str">
        <v>N/A</v>
      </c>
      <c r="C123" t="str">
        <v>Samurai</v>
      </c>
      <c r="D123" t="str">
        <v>https://placehold.co/60x60/cccccc/333333?text=S</v>
      </c>
      <c r="E123" t="str">
        <v>Warrior</v>
      </c>
      <c r="F123" t="str">
        <v>N/A</v>
      </c>
      <c r="G123" t="str">
        <v>N/A</v>
      </c>
      <c r="H123">
        <v>30</v>
      </c>
      <c r="I123">
        <v>0</v>
      </c>
      <c r="J123" t="str">
        <v>Legendary</v>
      </c>
      <c r="K123">
        <f>IF(H123&gt;0, H123/U123, "N/A")</f>
        <v>40</v>
      </c>
      <c r="L123" t="str">
        <v>N/A</v>
      </c>
      <c r="M123" t="str">
        <v>N/A</v>
      </c>
      <c r="N123">
        <v>6</v>
      </c>
      <c r="O123" t="str">
        <v>N/A</v>
      </c>
      <c r="P123" t="str">
        <v>N/A</v>
      </c>
      <c r="Q123" t="str">
        <v>N/A</v>
      </c>
      <c r="R123" t="str">
        <v>N/A</v>
      </c>
      <c r="S123" t="str">
        <v>N/A</v>
      </c>
      <c r="T123">
        <v>280</v>
      </c>
      <c r="U123">
        <v>0.75</v>
      </c>
      <c r="V123" t="str">
        <v>N/A</v>
      </c>
      <c r="X123" t="str">
        <f>IFERROR(__xludf.DUMMYFUNCTION("""COMPUTED_VALUE"""),"")</f>
        <v/>
      </c>
      <c r="Y123" t="str">
        <v>Epic box, Legendary box, Crystal crate #1, Mythic box</v>
      </c>
    </row>
    <row r="124">
      <c r="A124" t="str">
        <v>BabyGoblinArcher</v>
      </c>
      <c r="B124" t="str">
        <v>N/A</v>
      </c>
      <c r="C124" t="str">
        <v>Baby Archer</v>
      </c>
      <c r="D124" t="str">
        <v>https://placehold.co/60x60/cccccc/333333?text=BGA</v>
      </c>
      <c r="E124" t="str">
        <v>Ranger</v>
      </c>
      <c r="F124" t="str">
        <v>N/A</v>
      </c>
      <c r="G124" t="str">
        <v>N/A</v>
      </c>
      <c r="H124">
        <v>5</v>
      </c>
      <c r="I124">
        <v>0</v>
      </c>
      <c r="J124" t="str">
        <v>Common</v>
      </c>
      <c r="K124">
        <f>IF(H124&gt;0, H124/U124, "N/A")</f>
        <v>4.166666667</v>
      </c>
      <c r="L124" t="str">
        <v>N/A</v>
      </c>
      <c r="M124" t="str">
        <v>N/A</v>
      </c>
      <c r="N124">
        <v>30</v>
      </c>
      <c r="O124" t="str">
        <v>N/A</v>
      </c>
      <c r="P124" t="str">
        <v>N/A</v>
      </c>
      <c r="Q124" t="str">
        <v>N/A</v>
      </c>
      <c r="R124" t="str">
        <v>N/A</v>
      </c>
      <c r="S124" t="str">
        <v>N/A</v>
      </c>
      <c r="T124">
        <v>30</v>
      </c>
      <c r="U124">
        <v>1.2</v>
      </c>
      <c r="V124" t="str">
        <v>N/A</v>
      </c>
      <c r="X124" t="str">
        <f>IFERROR(__xludf.DUMMYFUNCTION("""COMPUTED_VALUE"""),"")</f>
        <v/>
      </c>
      <c r="Y124" t="str">
        <v>The Goblins Cave Crate</v>
      </c>
    </row>
    <row r="125">
      <c r="A125" t="str">
        <v>PirateCaptain</v>
      </c>
      <c r="B125" t="str">
        <v>N/A</v>
      </c>
      <c r="C125" t="str">
        <v>Pirate Captain</v>
      </c>
      <c r="D125" t="str">
        <v>https://raw.githubusercontent.com/BlackDragon2435/UnitsBGWiki/main/assets/PirateCaptain_Epic.jpg</v>
      </c>
      <c r="E125" t="str">
        <v>Warrior</v>
      </c>
      <c r="F125" t="str">
        <v>N/A</v>
      </c>
      <c r="G125" t="str">
        <v>N/A</v>
      </c>
      <c r="H125">
        <v>10</v>
      </c>
      <c r="I125">
        <v>0</v>
      </c>
      <c r="J125" t="str">
        <v>Epic</v>
      </c>
      <c r="K125">
        <f>IF(H125&gt;0, H125/U125, "N/A")</f>
        <v>11.11111111</v>
      </c>
      <c r="L125" t="str">
        <v>N/A</v>
      </c>
      <c r="M125" t="str">
        <v>N/A</v>
      </c>
      <c r="N125">
        <v>5</v>
      </c>
      <c r="O125" t="str">
        <v>N/A</v>
      </c>
      <c r="P125" t="str">
        <v>N/A</v>
      </c>
      <c r="Q125" t="str">
        <v>N/A</v>
      </c>
      <c r="R125" t="str">
        <v>N/A</v>
      </c>
      <c r="S125" t="str">
        <v>N/A</v>
      </c>
      <c r="T125">
        <v>140</v>
      </c>
      <c r="U125">
        <v>0.9</v>
      </c>
      <c r="V125" t="str">
        <v>N/A</v>
      </c>
      <c r="X125" t="str">
        <f>IFERROR(__xludf.DUMMYFUNCTION("""COMPUTED_VALUE"""),"")</f>
        <v/>
      </c>
      <c r="Y125" t="str">
        <v>The Pirate Bay Crate</v>
      </c>
    </row>
    <row r="126">
      <c r="A126" t="str">
        <v>PoolPartyBlaster</v>
      </c>
      <c r="B126" t="str">
        <v>N/A</v>
      </c>
      <c r="C126" t="str">
        <v>Pool Party Blaster</v>
      </c>
      <c r="D126" t="str">
        <v>https://raw.githubusercontent.com/BlackDragon2435/UnitsBGWiki/main/assets/PoolPartyBlaster_Mythic.jpg</v>
      </c>
      <c r="E126" t="str">
        <v>Ranger</v>
      </c>
      <c r="F126" t="str">
        <v>N/A</v>
      </c>
      <c r="G126" t="str">
        <v>N/A</v>
      </c>
      <c r="H126">
        <v>65</v>
      </c>
      <c r="I126">
        <v>0</v>
      </c>
      <c r="J126" t="str">
        <v>Mythic</v>
      </c>
      <c r="K126">
        <f>IF(H126&gt;0, H126/U126, "N/A")</f>
        <v>32.5</v>
      </c>
      <c r="L126" t="str">
        <v>N/A</v>
      </c>
      <c r="M126" t="str">
        <v>N/A</v>
      </c>
      <c r="N126">
        <v>50</v>
      </c>
      <c r="O126" t="str">
        <v>N/A</v>
      </c>
      <c r="P126" t="str">
        <v>N/A</v>
      </c>
      <c r="Q126" t="str">
        <v>N/A</v>
      </c>
      <c r="R126" t="str">
        <v>N/A</v>
      </c>
      <c r="S126" t="str">
        <v>N/A</v>
      </c>
      <c r="T126">
        <v>110</v>
      </c>
      <c r="U126">
        <v>2</v>
      </c>
      <c r="V126" t="str">
        <v>N/A</v>
      </c>
      <c r="X126" t="str">
        <f>IFERROR(__xludf.DUMMYFUNCTION("""COMPUTED_VALUE"""),"")</f>
        <v/>
      </c>
      <c r="Y126" t="str">
        <v>Not in a provided crate</v>
      </c>
    </row>
    <row r="127">
      <c r="A127" t="str">
        <v>Sniper</v>
      </c>
      <c r="B127" t="str">
        <v>N/A</v>
      </c>
      <c r="C127" t="str">
        <v>Sniper</v>
      </c>
      <c r="D127" t="str">
        <v>https://placehold.co/60x60/cccccc/333333?text=S</v>
      </c>
      <c r="E127" t="str">
        <v>Ranger</v>
      </c>
      <c r="F127" t="str">
        <v>N/A</v>
      </c>
      <c r="G127" t="str">
        <v>N/A</v>
      </c>
      <c r="H127">
        <v>90</v>
      </c>
      <c r="I127">
        <v>0</v>
      </c>
      <c r="J127" t="str">
        <v>Legendary</v>
      </c>
      <c r="K127">
        <f>IF(H127&gt;0, H127/U127, "N/A")</f>
        <v>30</v>
      </c>
      <c r="L127" t="str">
        <v>N/A</v>
      </c>
      <c r="M127" t="str">
        <v>N/A</v>
      </c>
      <c r="N127">
        <v>45</v>
      </c>
      <c r="O127" t="str">
        <v>N/A</v>
      </c>
      <c r="P127" t="str">
        <v>N/A</v>
      </c>
      <c r="Q127" t="str">
        <v>N/A</v>
      </c>
      <c r="R127" t="str">
        <v>N/A</v>
      </c>
      <c r="S127" t="str">
        <v>N/A</v>
      </c>
      <c r="T127">
        <v>80</v>
      </c>
      <c r="U127">
        <v>3</v>
      </c>
      <c r="V127" t="str">
        <v>N/A</v>
      </c>
      <c r="X127" t="str">
        <f>IFERROR(__xludf.DUMMYFUNCTION("""COMPUTED_VALUE"""),"")</f>
        <v/>
      </c>
      <c r="Y127" t="str">
        <v>Legendary box, Crystal crate #1, Crystal crate #4, Mythic box</v>
      </c>
    </row>
    <row r="128">
      <c r="A128" t="str">
        <v>NoobThrower</v>
      </c>
      <c r="B128" t="str">
        <v>N/A</v>
      </c>
      <c r="C128" t="str">
        <v>Noob Thrower</v>
      </c>
      <c r="D128" t="str">
        <v>https://placehold.co/60x60/cccccc/333333?text=NT</v>
      </c>
      <c r="E128" t="str">
        <v>Ranger</v>
      </c>
      <c r="F128" t="str">
        <v>N/A</v>
      </c>
      <c r="G128" t="str">
        <v>N/A</v>
      </c>
      <c r="H128">
        <v>5</v>
      </c>
      <c r="I128">
        <v>0</v>
      </c>
      <c r="J128" t="str">
        <v>Common</v>
      </c>
      <c r="K128">
        <f>IF(H128&gt;0, H128/U128, "N/A")</f>
        <v>5</v>
      </c>
      <c r="L128" t="str">
        <v>N/A</v>
      </c>
      <c r="M128" t="str">
        <v>N/A</v>
      </c>
      <c r="N128">
        <v>20</v>
      </c>
      <c r="O128" t="str">
        <v>N/A</v>
      </c>
      <c r="P128" t="str">
        <v>N/A</v>
      </c>
      <c r="Q128" t="str">
        <v>N/A</v>
      </c>
      <c r="R128" t="str">
        <v>N/A</v>
      </c>
      <c r="S128" t="str">
        <v>N/A</v>
      </c>
      <c r="T128">
        <v>60</v>
      </c>
      <c r="U128">
        <v>1</v>
      </c>
      <c r="V128" t="str">
        <v>N/A</v>
      </c>
      <c r="X128" t="str">
        <f>IFERROR(__xludf.DUMMYFUNCTION("""COMPUTED_VALUE"""),"F")</f>
        <v>F</v>
      </c>
      <c r="Y128" t="str">
        <v>Beginner box #1</v>
      </c>
    </row>
    <row r="129">
      <c r="A129" t="str">
        <v>Alchemist</v>
      </c>
      <c r="B129" t="str">
        <v>N/A</v>
      </c>
      <c r="C129" t="str">
        <v>Alchemist</v>
      </c>
      <c r="D129" t="str">
        <v>https://placehold.co/60x60/cccccc/333333?text=A</v>
      </c>
      <c r="E129" t="str">
        <v>Support</v>
      </c>
      <c r="F129" t="str">
        <v>N/A</v>
      </c>
      <c r="G129" t="str">
        <v>UpCooldown</v>
      </c>
      <c r="H129">
        <v>15</v>
      </c>
      <c r="I129">
        <v>0</v>
      </c>
      <c r="J129" t="str">
        <v>Legendary</v>
      </c>
      <c r="K129">
        <f>IF(H129&gt;0, H129/U129, "N/A")</f>
        <v>10</v>
      </c>
      <c r="L129" t="str">
        <v>N/A</v>
      </c>
      <c r="M129" t="str">
        <v>N/A</v>
      </c>
      <c r="N129">
        <v>22</v>
      </c>
      <c r="O129" t="str">
        <v>N/A</v>
      </c>
      <c r="P129" t="str">
        <v>N/A</v>
      </c>
      <c r="Q129" t="str">
        <v>UpCooldown</v>
      </c>
      <c r="R129" t="str">
        <v>N/A</v>
      </c>
      <c r="S129" t="str">
        <v>UpCooldown</v>
      </c>
      <c r="T129">
        <v>90</v>
      </c>
      <c r="U129">
        <v>1.5</v>
      </c>
      <c r="V129" t="str">
        <v>N/A</v>
      </c>
      <c r="X129" t="str">
        <f>IFERROR(__xludf.DUMMYFUNCTION("""COMPUTED_VALUE"""),"D")</f>
        <v>D</v>
      </c>
      <c r="Y129" t="str">
        <v>Legendary box</v>
      </c>
    </row>
    <row r="130">
      <c r="A130" t="str">
        <v>Cryomancer</v>
      </c>
      <c r="B130" t="str">
        <v>N/A</v>
      </c>
      <c r="C130" t="str">
        <v>Cryomancer</v>
      </c>
      <c r="D130" t="str">
        <v>https://raw.githubusercontent.com/BlackDragon2435/UnitsBGWiki/main/assets/Cryomancer_Epic.jpg</v>
      </c>
      <c r="E130" t="str">
        <v>Wizard</v>
      </c>
      <c r="F130" t="str">
        <v>N/A</v>
      </c>
      <c r="G130" t="str">
        <v>Frost</v>
      </c>
      <c r="H130">
        <v>10</v>
      </c>
      <c r="I130">
        <v>0</v>
      </c>
      <c r="J130" t="str">
        <v>Epic</v>
      </c>
      <c r="K130">
        <f>IF(H130&gt;0, H130/U130, "N/A")</f>
        <v>5</v>
      </c>
      <c r="L130" t="str">
        <v>N/A</v>
      </c>
      <c r="M130" t="str">
        <v>N/A</v>
      </c>
      <c r="N130">
        <v>30</v>
      </c>
      <c r="O130" t="str">
        <v>N/A</v>
      </c>
      <c r="P130" t="str">
        <v>N/A</v>
      </c>
      <c r="Q130" t="str">
        <v>Slow</v>
      </c>
      <c r="R130" t="str">
        <v>N/A</v>
      </c>
      <c r="S130" t="str">
        <v>Slow</v>
      </c>
      <c r="T130">
        <v>120</v>
      </c>
      <c r="U130">
        <v>2</v>
      </c>
      <c r="V130" t="str">
        <v>N/A</v>
      </c>
      <c r="X130" t="str">
        <f>IFERROR(__xludf.DUMMYFUNCTION("""COMPUTED_VALUE"""),"")</f>
        <v/>
      </c>
      <c r="Y130" t="str">
        <v>Epic box, Legendary box, Mythic box</v>
      </c>
    </row>
    <row r="131">
      <c r="A131" t="str">
        <v>DeadCannoneer</v>
      </c>
      <c r="B131" t="str">
        <v>N/A</v>
      </c>
      <c r="C131" t="str">
        <v>Dead Cannoneer</v>
      </c>
      <c r="D131" t="str">
        <v>https://placehold.co/60x60/cccccc/333333?text=DC</v>
      </c>
      <c r="E131" t="str">
        <v>Ranger</v>
      </c>
      <c r="F131" t="str">
        <v>N/A</v>
      </c>
      <c r="G131" t="str">
        <v>N/A</v>
      </c>
      <c r="H131">
        <v>65</v>
      </c>
      <c r="I131">
        <v>0</v>
      </c>
      <c r="J131" t="str">
        <v>Legendary</v>
      </c>
      <c r="K131">
        <f>IF(H131&gt;0, H131/U131, "N/A")</f>
        <v>18.57142857</v>
      </c>
      <c r="L131" t="str">
        <v>N/A</v>
      </c>
      <c r="M131">
        <v>0.1</v>
      </c>
      <c r="N131">
        <v>25</v>
      </c>
      <c r="O131" t="str">
        <v>N/A</v>
      </c>
      <c r="P131" t="str">
        <v>N/A</v>
      </c>
      <c r="Q131" t="str">
        <v>N/A</v>
      </c>
      <c r="R131" t="str">
        <v>N/A</v>
      </c>
      <c r="S131" t="str">
        <v>N/A</v>
      </c>
      <c r="T131">
        <v>200</v>
      </c>
      <c r="U131">
        <v>3.5</v>
      </c>
      <c r="V131" t="str">
        <v>N/A</v>
      </c>
      <c r="X131" t="str">
        <f>IFERROR(__xludf.DUMMYFUNCTION("""COMPUTED_VALUE"""),"")</f>
        <v/>
      </c>
      <c r="Y131" t="str">
        <v>Not in a provided crate</v>
      </c>
    </row>
    <row r="132">
      <c r="A132" t="str">
        <v>GoblinWarrior</v>
      </c>
      <c r="B132" t="str">
        <v>N/A</v>
      </c>
      <c r="C132" t="str">
        <v>Goblin Warrior</v>
      </c>
      <c r="D132" t="str">
        <v>https://raw.githubusercontent.com/BlackDragon2435/UnitsBGWiki/main/assets/GoblinWarrior_Uncommon.jpg</v>
      </c>
      <c r="E132" t="str">
        <v>Warrior</v>
      </c>
      <c r="F132" t="str">
        <v>N/A</v>
      </c>
      <c r="G132" t="str">
        <v>N/A</v>
      </c>
      <c r="H132">
        <v>10</v>
      </c>
      <c r="I132">
        <v>0</v>
      </c>
      <c r="J132" t="str">
        <v>Uncommon</v>
      </c>
      <c r="K132">
        <f>IF(H132&gt;0, H132/U132, "N/A")</f>
        <v>10</v>
      </c>
      <c r="L132" t="str">
        <v>N/A</v>
      </c>
      <c r="M132" t="str">
        <v>N/A</v>
      </c>
      <c r="N132">
        <v>5</v>
      </c>
      <c r="O132" t="str">
        <v>N/A</v>
      </c>
      <c r="P132" t="str">
        <v>N/A</v>
      </c>
      <c r="Q132" t="str">
        <v>N/A</v>
      </c>
      <c r="R132" t="str">
        <v>N/A</v>
      </c>
      <c r="S132" t="str">
        <v>N/A</v>
      </c>
      <c r="T132">
        <v>80</v>
      </c>
      <c r="U132">
        <v>1</v>
      </c>
      <c r="V132" t="str">
        <v>N/A</v>
      </c>
      <c r="X132" t="str">
        <f>IFERROR(__xludf.DUMMYFUNCTION("""COMPUTED_VALUE"""),"")</f>
        <v/>
      </c>
      <c r="Y132" t="str">
        <v>The Goblins Cave Crate</v>
      </c>
    </row>
    <row r="133">
      <c r="A133" t="str">
        <v>TheAdmiralSmall</v>
      </c>
      <c r="B133" t="str">
        <v>N/A</v>
      </c>
      <c r="C133" t="str">
        <v>The Admiral of Death(Normal)</v>
      </c>
      <c r="D133" t="str">
        <v>https://raw.githubusercontent.com/BlackDragon2435/UnitsBGWiki/main/assets/TheAdmiralSmall_Mythic.jpg</v>
      </c>
      <c r="E133" t="str">
        <v>Ranger</v>
      </c>
      <c r="F133" t="str">
        <v>N/A</v>
      </c>
      <c r="G133" t="str">
        <v>Fire</v>
      </c>
      <c r="H133">
        <v>90</v>
      </c>
      <c r="I133">
        <v>50</v>
      </c>
      <c r="J133" t="str">
        <v>Mythic</v>
      </c>
      <c r="K133">
        <f>IF(H133&gt;0, H133/U133, "N/A")</f>
        <v>30</v>
      </c>
      <c r="L133" t="str">
        <v>N/A</v>
      </c>
      <c r="M133" t="str">
        <v>N/A</v>
      </c>
      <c r="N133">
        <v>45</v>
      </c>
      <c r="O133" t="str">
        <v>N/A</v>
      </c>
      <c r="P133" t="str">
        <v>N/A</v>
      </c>
      <c r="Q133" t="str">
        <v>Damage</v>
      </c>
      <c r="R133" t="str">
        <v>N/A</v>
      </c>
      <c r="S133" t="str">
        <v>Burn</v>
      </c>
      <c r="T133">
        <v>90</v>
      </c>
      <c r="U133">
        <v>3</v>
      </c>
      <c r="V133" t="str">
        <v>N/A</v>
      </c>
      <c r="X133" t="str">
        <f>IFERROR(__xludf.DUMMYFUNCTION("""COMPUTED_VALUE"""),"")</f>
        <v/>
      </c>
      <c r="Y133" t="str">
        <v>The Pirate Bay Crate</v>
      </c>
    </row>
    <row r="134">
      <c r="A134" t="str">
        <v>LivingArmor</v>
      </c>
      <c r="B134">
        <v>0.015</v>
      </c>
      <c r="C134" t="str">
        <v>Living Armor(Normal)</v>
      </c>
      <c r="D134" t="str">
        <v>https://raw.githubusercontent.com/BlackDragon2435/UnitsBGWiki/main/assets/LivingArmor_Mythic.jpg</v>
      </c>
      <c r="E134" t="str">
        <v>Tank</v>
      </c>
      <c r="F134" t="str">
        <v>N/A</v>
      </c>
      <c r="G134" t="str">
        <v>Lifesteal</v>
      </c>
      <c r="H134">
        <v>30</v>
      </c>
      <c r="I134">
        <v>50</v>
      </c>
      <c r="J134" t="str">
        <v>Mythic</v>
      </c>
      <c r="K134">
        <f>IF(H134&gt;0, H134/U134, "N/A")</f>
        <v>20</v>
      </c>
      <c r="L134">
        <v>101</v>
      </c>
      <c r="M134">
        <v>0.01</v>
      </c>
      <c r="N134">
        <v>15</v>
      </c>
      <c r="O134" t="str">
        <v>N/A</v>
      </c>
      <c r="P134">
        <v>1.5</v>
      </c>
      <c r="Q134" t="str">
        <v>Lifesteal</v>
      </c>
      <c r="R134">
        <v>10</v>
      </c>
      <c r="S134" t="str">
        <v>Lifesteal</v>
      </c>
      <c r="T134">
        <v>900</v>
      </c>
      <c r="U134">
        <v>1.5</v>
      </c>
      <c r="V134" t="str">
        <v>N/A</v>
      </c>
      <c r="X134" t="str">
        <f>IFERROR(__xludf.DUMMYFUNCTION("""COMPUTED_VALUE"""),"")</f>
        <v/>
      </c>
      <c r="Y134" t="str">
        <v>Not in a provided crate</v>
      </c>
    </row>
    <row r="135">
      <c r="A135" t="str">
        <v>SmallAncientVampire</v>
      </c>
      <c r="B135">
        <v>0.45</v>
      </c>
      <c r="C135" t="str">
        <v>Ancient Vampire</v>
      </c>
      <c r="D135" t="str">
        <v>https://raw.githubusercontent.com/BlackDragon2435/UnitsBGWiki/main/assets/SmallAncientVampire_Demonic.jpg</v>
      </c>
      <c r="E135" t="str">
        <v>Assassin</v>
      </c>
      <c r="F135">
        <v>25</v>
      </c>
      <c r="G135" t="str">
        <v>Lifesteal</v>
      </c>
      <c r="H135">
        <v>50</v>
      </c>
      <c r="I135">
        <v>0</v>
      </c>
      <c r="J135" t="str">
        <v>Demonic</v>
      </c>
      <c r="K135">
        <f>IF(H135&gt;0, H135/U135, "N/A")</f>
        <v>66.66666667</v>
      </c>
      <c r="L135">
        <v>101</v>
      </c>
      <c r="M135">
        <v>0.35</v>
      </c>
      <c r="N135">
        <v>6</v>
      </c>
      <c r="O135">
        <v>30</v>
      </c>
      <c r="P135">
        <v>2.3</v>
      </c>
      <c r="Q135" t="str">
        <v>Lifesteal</v>
      </c>
      <c r="R135">
        <v>35</v>
      </c>
      <c r="S135" t="str">
        <v>Lifesteal</v>
      </c>
      <c r="T135">
        <v>400</v>
      </c>
      <c r="U135">
        <v>0.75</v>
      </c>
      <c r="V135">
        <v>1</v>
      </c>
      <c r="X135" t="str">
        <f>IFERROR(__xludf.DUMMYFUNCTION("""COMPUTED_VALUE"""),"S")</f>
        <v>S</v>
      </c>
      <c r="Y135" t="str">
        <v>Not in a provided crate</v>
      </c>
    </row>
    <row r="136">
      <c r="A136" t="str">
        <v>LivingMummy</v>
      </c>
      <c r="B136" t="str">
        <v>N/A</v>
      </c>
      <c r="C136" t="str">
        <v>Living Mummy</v>
      </c>
      <c r="D136" t="str">
        <v>https://raw.githubusercontent.com/BlackDragon2435/UnitsBGWiki/main/assets/LivingMummy_Legendary.jpg</v>
      </c>
      <c r="E136" t="str">
        <v>Tank</v>
      </c>
      <c r="F136" t="str">
        <v>N/A</v>
      </c>
      <c r="G136" t="str">
        <v>N/A</v>
      </c>
      <c r="H136">
        <v>22</v>
      </c>
      <c r="I136">
        <v>0</v>
      </c>
      <c r="J136" t="str">
        <v>Legendary</v>
      </c>
      <c r="K136">
        <f>IF(H136&gt;0, H136/U136, "N/A")</f>
        <v>15.71428571</v>
      </c>
      <c r="L136" t="str">
        <v>N/A</v>
      </c>
      <c r="M136" t="str">
        <v>N/A</v>
      </c>
      <c r="N136">
        <v>6</v>
      </c>
      <c r="O136" t="str">
        <v>N/A</v>
      </c>
      <c r="P136" t="str">
        <v>N/A</v>
      </c>
      <c r="Q136" t="str">
        <v>N/A</v>
      </c>
      <c r="R136" t="str">
        <v>N/A</v>
      </c>
      <c r="S136" t="str">
        <v>N/A</v>
      </c>
      <c r="T136">
        <v>1100</v>
      </c>
      <c r="U136">
        <v>1.4</v>
      </c>
      <c r="V136" t="str">
        <v>N/A</v>
      </c>
      <c r="X136" t="str">
        <f>IFERROR(__xludf.DUMMYFUNCTION("""COMPUTED_VALUE"""),"D")</f>
        <v>D</v>
      </c>
      <c r="Y136" t="str">
        <v>Not in a provided crate</v>
      </c>
    </row>
    <row r="137">
      <c r="A137" t="str">
        <v>Warrior</v>
      </c>
      <c r="B137" t="str">
        <v>N/A</v>
      </c>
      <c r="C137" t="str">
        <v>Warrior</v>
      </c>
      <c r="D137" t="str">
        <v>https://raw.githubusercontent.com/BlackDragon2435/UnitsBGWiki/main/assets/Warrior_Uncommon.jpg</v>
      </c>
      <c r="E137" t="str">
        <v>Warrior</v>
      </c>
      <c r="F137" t="str">
        <v>N/A</v>
      </c>
      <c r="G137" t="str">
        <v>N/A</v>
      </c>
      <c r="H137">
        <v>8</v>
      </c>
      <c r="I137">
        <v>0</v>
      </c>
      <c r="J137" t="str">
        <v>Uncommon</v>
      </c>
      <c r="K137">
        <f>IF(H137&gt;0, H137/U137, "N/A")</f>
        <v>8.888888889</v>
      </c>
      <c r="L137" t="str">
        <v>N/A</v>
      </c>
      <c r="M137" t="str">
        <v>N/A</v>
      </c>
      <c r="N137">
        <v>6</v>
      </c>
      <c r="O137" t="str">
        <v>N/A</v>
      </c>
      <c r="P137" t="str">
        <v>N/A</v>
      </c>
      <c r="Q137" t="str">
        <v>N/A</v>
      </c>
      <c r="R137" t="str">
        <v>N/A</v>
      </c>
      <c r="S137" t="str">
        <v>N/A</v>
      </c>
      <c r="T137">
        <v>100</v>
      </c>
      <c r="U137">
        <v>0.9</v>
      </c>
      <c r="V137" t="str">
        <v>N/A</v>
      </c>
      <c r="X137" t="str">
        <f>IFERROR(__xludf.DUMMYFUNCTION("""COMPUTED_VALUE"""),"")</f>
        <v/>
      </c>
      <c r="Y137" t="str">
        <v>Beginner box #1, Beginner box #2</v>
      </c>
    </row>
    <row r="138">
      <c r="A138" t="str">
        <v>FrostWizard</v>
      </c>
      <c r="B138" t="str">
        <v>N/A</v>
      </c>
      <c r="C138" t="str">
        <v>Frost Wizard</v>
      </c>
      <c r="D138" t="str">
        <v>https://placehold.co/60x60/cccccc/333333?text=FW</v>
      </c>
      <c r="E138" t="str">
        <v>Wizard</v>
      </c>
      <c r="F138" t="str">
        <v>N/A</v>
      </c>
      <c r="G138" t="str">
        <v>Frost</v>
      </c>
      <c r="H138">
        <v>25</v>
      </c>
      <c r="I138">
        <v>0</v>
      </c>
      <c r="J138" t="str">
        <v>Legendary</v>
      </c>
      <c r="K138">
        <f>IF(H138&gt;0, H138/U138, "N/A")</f>
        <v>25</v>
      </c>
      <c r="L138" t="str">
        <v>N/A</v>
      </c>
      <c r="M138" t="str">
        <v>N/A</v>
      </c>
      <c r="N138">
        <v>35</v>
      </c>
      <c r="O138" t="str">
        <v>N/A</v>
      </c>
      <c r="P138" t="str">
        <v>N/A</v>
      </c>
      <c r="Q138" t="str">
        <v>Slow</v>
      </c>
      <c r="R138" t="str">
        <v>N/A</v>
      </c>
      <c r="S138" t="str">
        <v>Slow</v>
      </c>
      <c r="T138">
        <v>130</v>
      </c>
      <c r="U138">
        <v>1</v>
      </c>
      <c r="V138" t="str">
        <v>N/A</v>
      </c>
      <c r="X138" t="str">
        <f>IFERROR(__xludf.DUMMYFUNCTION("""COMPUTED_VALUE"""),"")</f>
        <v/>
      </c>
      <c r="Y138" t="str">
        <v>The Wizard Tower Crate</v>
      </c>
    </row>
    <row r="139">
      <c r="A139" t="str">
        <v>InfernoArcher</v>
      </c>
      <c r="B139">
        <v>0.08</v>
      </c>
      <c r="C139" t="str">
        <v>Inferno Archer</v>
      </c>
      <c r="D139" t="str">
        <v>https://raw.githubusercontent.com/BlackDragon2435/UnitsBGWiki/main/assets/InfernoArcher_Demonic.jpg</v>
      </c>
      <c r="E139" t="str">
        <v>Ranger</v>
      </c>
      <c r="F139">
        <v>13</v>
      </c>
      <c r="G139" t="str">
        <v>Fire</v>
      </c>
      <c r="H139">
        <v>115</v>
      </c>
      <c r="I139">
        <v>0</v>
      </c>
      <c r="J139" t="str">
        <v>Demonic</v>
      </c>
      <c r="K139">
        <f>IF(H139&gt;0, H139/U139, "N/A")</f>
        <v>25.55555556</v>
      </c>
      <c r="L139">
        <v>100</v>
      </c>
      <c r="M139">
        <v>0.05</v>
      </c>
      <c r="N139">
        <v>50</v>
      </c>
      <c r="O139" t="str">
        <v>N/A</v>
      </c>
      <c r="P139">
        <v>15</v>
      </c>
      <c r="Q139" t="str">
        <v>Damage</v>
      </c>
      <c r="R139" t="str">
        <v>N/A</v>
      </c>
      <c r="S139" t="str">
        <v>Burn</v>
      </c>
      <c r="T139">
        <v>250</v>
      </c>
      <c r="U139">
        <v>4.5</v>
      </c>
      <c r="V139" t="str">
        <v>N/A</v>
      </c>
      <c r="X139" t="str">
        <f>IFERROR(__xludf.DUMMYFUNCTION("""COMPUTED_VALUE"""),"C")</f>
        <v>C</v>
      </c>
      <c r="Y139" t="str">
        <v>Not in a provided crate</v>
      </c>
    </row>
    <row r="140">
      <c r="A140" t="str">
        <v>Jack</v>
      </c>
      <c r="B140" t="str">
        <v>N/A</v>
      </c>
      <c r="C140" t="str">
        <v>Jack</v>
      </c>
      <c r="D140" t="str">
        <v>https://placehold.co/60x60/cccccc/333333?text=J</v>
      </c>
      <c r="E140" t="str">
        <v>Warrior</v>
      </c>
      <c r="F140" t="str">
        <v>N/A</v>
      </c>
      <c r="G140" t="str">
        <v>Lifesteal</v>
      </c>
      <c r="H140">
        <v>85</v>
      </c>
      <c r="I140">
        <v>10</v>
      </c>
      <c r="J140" t="str">
        <v>Demonic</v>
      </c>
      <c r="K140">
        <f>IF(H140&gt;0, H140/U140, "N/A")</f>
        <v>47.22222222</v>
      </c>
      <c r="L140" t="str">
        <v>N/A</v>
      </c>
      <c r="M140">
        <v>0.04</v>
      </c>
      <c r="N140">
        <v>5</v>
      </c>
      <c r="O140" t="str">
        <v>N/A</v>
      </c>
      <c r="P140" t="str">
        <v>N/A</v>
      </c>
      <c r="Q140" t="str">
        <v>Lifesteal</v>
      </c>
      <c r="R140">
        <v>10</v>
      </c>
      <c r="S140" t="str">
        <v>Lifesteal</v>
      </c>
      <c r="T140">
        <v>650</v>
      </c>
      <c r="U140">
        <v>1.8</v>
      </c>
      <c r="V140" t="str">
        <v>N/A</v>
      </c>
      <c r="X140" t="str">
        <f>IFERROR(__xludf.DUMMYFUNCTION("""COMPUTED_VALUE"""),"F")</f>
        <v>F</v>
      </c>
      <c r="Y140" t="str">
        <v>Not in a provided crate</v>
      </c>
    </row>
    <row r="141">
      <c r="A141" t="str">
        <v>Bomber</v>
      </c>
      <c r="B141" t="str">
        <v>N/A</v>
      </c>
      <c r="C141" t="str">
        <v>Bomber</v>
      </c>
      <c r="D141" t="str">
        <v>https://raw.githubusercontent.com/BlackDragon2435/UnitsBGWiki/main/assets/Bomber_Legendary.jpg</v>
      </c>
      <c r="E141" t="str">
        <v>Warrior</v>
      </c>
      <c r="F141" t="str">
        <v>N/A</v>
      </c>
      <c r="G141" t="str">
        <v>N/A</v>
      </c>
      <c r="H141">
        <v>300</v>
      </c>
      <c r="I141">
        <v>0</v>
      </c>
      <c r="J141" t="str">
        <v>Legendary</v>
      </c>
      <c r="K141">
        <f>IF(H141&gt;0, H141/U141, "N/A")</f>
        <v>15</v>
      </c>
      <c r="L141" t="str">
        <v>N/A</v>
      </c>
      <c r="M141" t="str">
        <v>N/A</v>
      </c>
      <c r="N141">
        <v>5</v>
      </c>
      <c r="O141" t="str">
        <v>N/A</v>
      </c>
      <c r="P141" t="str">
        <v>N/A</v>
      </c>
      <c r="Q141" t="str">
        <v>N/A</v>
      </c>
      <c r="R141" t="str">
        <v>N/A</v>
      </c>
      <c r="S141" t="str">
        <v>N/A</v>
      </c>
      <c r="T141">
        <v>60</v>
      </c>
      <c r="U141">
        <v>20</v>
      </c>
      <c r="V141" t="str">
        <v>N/A</v>
      </c>
      <c r="X141" t="str">
        <f>IFERROR(__xludf.DUMMYFUNCTION("""COMPUTED_VALUE"""),"")</f>
        <v/>
      </c>
      <c r="Y141" t="str">
        <v>The Wizard Tower Crate</v>
      </c>
    </row>
    <row r="142">
      <c r="A142" t="str">
        <v>PirateMedic</v>
      </c>
      <c r="B142" t="str">
        <v>N/A</v>
      </c>
      <c r="C142" t="str">
        <v>Pirate Medic</v>
      </c>
      <c r="D142" t="str">
        <v>https://raw.githubusercontent.com/BlackDragon2435/UnitsBGWiki/main/assets/PirateMedic_Rare.jpg</v>
      </c>
      <c r="E142" t="str">
        <v>Healer</v>
      </c>
      <c r="F142" t="str">
        <v>N/A</v>
      </c>
      <c r="G142" t="str">
        <v>Healing</v>
      </c>
      <c r="H142">
        <v>10</v>
      </c>
      <c r="I142">
        <v>0</v>
      </c>
      <c r="J142" t="str">
        <v>Rare</v>
      </c>
      <c r="K142">
        <f>IF(H142&gt;0, H142/U142, "N/A")</f>
        <v>10</v>
      </c>
      <c r="L142" t="str">
        <v>N/A</v>
      </c>
      <c r="M142" t="str">
        <v>N/A</v>
      </c>
      <c r="N142">
        <v>5</v>
      </c>
      <c r="O142" t="str">
        <v>N/A</v>
      </c>
      <c r="P142" t="str">
        <v>N/A</v>
      </c>
      <c r="Q142" t="str">
        <v>N/A</v>
      </c>
      <c r="R142" t="str">
        <v>N/A</v>
      </c>
      <c r="S142" t="str">
        <v>N/A</v>
      </c>
      <c r="T142">
        <v>120</v>
      </c>
      <c r="U142">
        <v>1</v>
      </c>
      <c r="V142" t="str">
        <v>N/A</v>
      </c>
      <c r="X142" t="str">
        <f>IFERROR(__xludf.DUMMYFUNCTION("""COMPUTED_VALUE"""),"")</f>
        <v/>
      </c>
      <c r="Y142" t="str">
        <v>The Pirate Bay Crate</v>
      </c>
    </row>
    <row r="143">
      <c r="A143" t="str">
        <v>GoldenKnight</v>
      </c>
      <c r="B143" t="str">
        <v>N/A</v>
      </c>
      <c r="C143" t="str">
        <v>Golden Knight</v>
      </c>
      <c r="D143" t="str">
        <v>https://placehold.co/60x60/cccccc/333333?text=GK</v>
      </c>
      <c r="E143" t="str">
        <v>Tank</v>
      </c>
      <c r="F143" t="str">
        <v>N/A</v>
      </c>
      <c r="G143" t="str">
        <v>N/A</v>
      </c>
      <c r="H143">
        <v>35</v>
      </c>
      <c r="I143">
        <v>0</v>
      </c>
      <c r="J143" t="str">
        <v>Legendary</v>
      </c>
      <c r="K143">
        <f>IF(H143&gt;0, H143/U143, "N/A")</f>
        <v>23.33333333</v>
      </c>
      <c r="L143" t="str">
        <v>N/A</v>
      </c>
      <c r="M143" t="str">
        <v>N/A</v>
      </c>
      <c r="N143">
        <v>6</v>
      </c>
      <c r="O143" t="str">
        <v>N/A</v>
      </c>
      <c r="P143" t="str">
        <v>N/A</v>
      </c>
      <c r="Q143" t="str">
        <v>N/A</v>
      </c>
      <c r="R143" t="str">
        <v>N/A</v>
      </c>
      <c r="S143" t="str">
        <v>N/A</v>
      </c>
      <c r="T143">
        <v>800</v>
      </c>
      <c r="U143">
        <v>1.5</v>
      </c>
      <c r="V143" t="str">
        <v>N/A</v>
      </c>
      <c r="X143" t="str">
        <f>IFERROR(__xludf.DUMMYFUNCTION("""COMPUTED_VALUE"""),"D")</f>
        <v>D</v>
      </c>
      <c r="Y143" t="str">
        <v>Legendary box, Crystal crate #3, Crystal crate #2, Crystal crate #1, Crystal crate #4, Mythic box</v>
      </c>
    </row>
    <row r="144">
      <c r="A144" t="str">
        <v>Spartan</v>
      </c>
      <c r="B144" t="str">
        <v>N/A</v>
      </c>
      <c r="C144" t="str">
        <v>Spartan</v>
      </c>
      <c r="D144" t="str">
        <v>https://placehold.co/60x60/cccccc/333333?text=S</v>
      </c>
      <c r="E144" t="str">
        <v>Warrior</v>
      </c>
      <c r="F144" t="str">
        <v>N/A</v>
      </c>
      <c r="G144" t="str">
        <v>N/A</v>
      </c>
      <c r="H144">
        <v>30</v>
      </c>
      <c r="I144">
        <v>0</v>
      </c>
      <c r="J144" t="str">
        <v>Epic</v>
      </c>
      <c r="K144">
        <f>IF(H144&gt;0, H144/U144, "N/A")</f>
        <v>24</v>
      </c>
      <c r="L144" t="str">
        <v>N/A</v>
      </c>
      <c r="M144" t="str">
        <v>N/A</v>
      </c>
      <c r="N144">
        <v>6</v>
      </c>
      <c r="O144" t="str">
        <v>N/A</v>
      </c>
      <c r="P144" t="str">
        <v>N/A</v>
      </c>
      <c r="Q144" t="str">
        <v>N/A</v>
      </c>
      <c r="R144" t="str">
        <v>N/A</v>
      </c>
      <c r="S144" t="str">
        <v>N/A</v>
      </c>
      <c r="T144">
        <v>300</v>
      </c>
      <c r="U144">
        <v>1.25</v>
      </c>
      <c r="V144" t="str">
        <v>N/A</v>
      </c>
      <c r="X144" t="str">
        <f>IFERROR(__xludf.DUMMYFUNCTION("""COMPUTED_VALUE"""),"")</f>
        <v/>
      </c>
      <c r="Y144" t="str">
        <v>Crystal crate #3, Crystal crate #2, Crystal crate #4</v>
      </c>
    </row>
    <row r="145">
      <c r="A145" t="str">
        <v>YukiOnna</v>
      </c>
      <c r="B145">
        <v>0.02</v>
      </c>
      <c r="C145" t="str">
        <v>Yoki Onna</v>
      </c>
      <c r="D145" t="str">
        <v>https://raw.githubusercontent.com/BlackDragon2435/UnitsBGWiki/main/assets/YukiOnna_Mythic.jpg</v>
      </c>
      <c r="E145" t="str">
        <v>Wizard</v>
      </c>
      <c r="F145" t="str">
        <v>N/A</v>
      </c>
      <c r="G145" t="str">
        <v>Frost</v>
      </c>
      <c r="H145">
        <v>47</v>
      </c>
      <c r="I145" t="str">
        <v>N/A</v>
      </c>
      <c r="J145" t="str">
        <v>Mythic</v>
      </c>
      <c r="K145">
        <f>IF(H145&gt;0, H145/U145, "N/A")</f>
        <v>27.64705882</v>
      </c>
      <c r="L145" t="str">
        <v>N/A</v>
      </c>
      <c r="M145">
        <v>0.02</v>
      </c>
      <c r="N145">
        <v>40</v>
      </c>
      <c r="O145" t="str">
        <v>N/A</v>
      </c>
      <c r="P145">
        <v>1.75</v>
      </c>
      <c r="Q145" t="str">
        <v>Slow</v>
      </c>
      <c r="R145" t="str">
        <v>N/A</v>
      </c>
      <c r="S145" t="str">
        <v>SlowBoss</v>
      </c>
      <c r="T145">
        <v>350</v>
      </c>
      <c r="U145">
        <v>1.7</v>
      </c>
      <c r="V145" t="str">
        <v>N/A</v>
      </c>
      <c r="X145" t="str">
        <f>IFERROR(__xludf.DUMMYFUNCTION("""COMPUTED_VALUE"""),"C")</f>
        <v>C</v>
      </c>
      <c r="Y145" t="str">
        <v>Not in a provided crate</v>
      </c>
    </row>
    <row r="146">
      <c r="A146" t="str">
        <v>Druid</v>
      </c>
      <c r="B146" t="str">
        <v>N/A</v>
      </c>
      <c r="C146" t="str">
        <v>Druid</v>
      </c>
      <c r="D146" t="str">
        <v>https://placehold.co/60x60/cccccc/333333?text=D</v>
      </c>
      <c r="E146" t="str">
        <v>Healer</v>
      </c>
      <c r="F146" t="str">
        <v>N/A</v>
      </c>
      <c r="G146" t="str">
        <v>Healing</v>
      </c>
      <c r="H146">
        <v>7</v>
      </c>
      <c r="I146">
        <v>0</v>
      </c>
      <c r="J146" t="str">
        <v>Epic</v>
      </c>
      <c r="K146">
        <f>IF(H146&gt;0, H146/U146, "N/A")</f>
        <v>5.833333333</v>
      </c>
      <c r="L146" t="str">
        <v>N/A</v>
      </c>
      <c r="M146" t="str">
        <v>N/A</v>
      </c>
      <c r="N146">
        <v>20</v>
      </c>
      <c r="O146" t="str">
        <v>N/A</v>
      </c>
      <c r="P146" t="str">
        <v>N/A</v>
      </c>
      <c r="Q146" t="str">
        <v>N/A</v>
      </c>
      <c r="R146" t="str">
        <v>N/A</v>
      </c>
      <c r="S146" t="str">
        <v>N/A</v>
      </c>
      <c r="T146">
        <v>90</v>
      </c>
      <c r="U146">
        <v>1.2</v>
      </c>
      <c r="V146" t="str">
        <v>N/A</v>
      </c>
      <c r="X146" t="str">
        <f>IFERROR(__xludf.DUMMYFUNCTION("""COMPUTED_VALUE"""),"")</f>
        <v/>
      </c>
      <c r="Y146" t="str">
        <v>Epic box, Legendary box, Mythic box</v>
      </c>
    </row>
    <row r="147">
      <c r="A147" t="str">
        <v>Beachcomber</v>
      </c>
      <c r="B147">
        <v>0.35</v>
      </c>
      <c r="C147" t="str">
        <v>Beachcomber</v>
      </c>
      <c r="D147" t="str">
        <v>https://raw.githubusercontent.com/BlackDragon2435/UnitsBGWiki/main/assets/Beachcomber_Legendary.jpg</v>
      </c>
      <c r="E147" t="str">
        <v>Assassin</v>
      </c>
      <c r="F147" t="str">
        <v>N/A</v>
      </c>
      <c r="G147" t="str">
        <v>Poison</v>
      </c>
      <c r="H147">
        <v>38</v>
      </c>
      <c r="I147">
        <v>0</v>
      </c>
      <c r="J147" t="str">
        <v>Legendary</v>
      </c>
      <c r="K147">
        <f>IF(H147&gt;0, H147/U147, "N/A")</f>
        <v>38</v>
      </c>
      <c r="L147" t="str">
        <v>N/A</v>
      </c>
      <c r="M147">
        <v>0.25</v>
      </c>
      <c r="N147">
        <v>6</v>
      </c>
      <c r="O147">
        <v>30</v>
      </c>
      <c r="P147" t="str">
        <v>N/A</v>
      </c>
      <c r="Q147" t="str">
        <v>Damage</v>
      </c>
      <c r="R147" t="str">
        <v>N/A</v>
      </c>
      <c r="S147" t="str">
        <v>Poison</v>
      </c>
      <c r="T147">
        <v>250</v>
      </c>
      <c r="U147">
        <v>1</v>
      </c>
      <c r="V147">
        <v>1</v>
      </c>
      <c r="X147" t="str">
        <f>IFERROR(__xludf.DUMMYFUNCTION("""COMPUTED_VALUE"""),"")</f>
        <v/>
      </c>
      <c r="Y147" t="str">
        <v>Not in a provided crate</v>
      </c>
    </row>
    <row r="148">
      <c r="A148" t="str">
        <v>Therapist</v>
      </c>
      <c r="B148" t="str">
        <v>N/A</v>
      </c>
      <c r="C148" t="str">
        <v>Therapist</v>
      </c>
      <c r="D148" t="str">
        <v>https://raw.githubusercontent.com/BlackDragon2435/UnitsBGWiki/main/assets/Therapist_Rare.jpg</v>
      </c>
      <c r="E148" t="str">
        <v>Healer</v>
      </c>
      <c r="F148" t="str">
        <v>N/A</v>
      </c>
      <c r="G148" t="str">
        <v>Healing</v>
      </c>
      <c r="H148">
        <v>7.5</v>
      </c>
      <c r="I148">
        <v>0</v>
      </c>
      <c r="J148" t="str">
        <v>Rare</v>
      </c>
      <c r="K148">
        <f>IF(H148&gt;0, H148/U148, "N/A")</f>
        <v>6</v>
      </c>
      <c r="L148" t="str">
        <v>N/A</v>
      </c>
      <c r="M148" t="str">
        <v>N/A</v>
      </c>
      <c r="N148">
        <v>20</v>
      </c>
      <c r="O148" t="str">
        <v>N/A</v>
      </c>
      <c r="P148" t="str">
        <v>N/A</v>
      </c>
      <c r="Q148" t="str">
        <v>N/A</v>
      </c>
      <c r="R148" t="str">
        <v>N/A</v>
      </c>
      <c r="S148" t="str">
        <v>N/A</v>
      </c>
      <c r="T148">
        <v>80</v>
      </c>
      <c r="U148">
        <v>1.25</v>
      </c>
      <c r="V148" t="str">
        <v>N/A</v>
      </c>
      <c r="X148" t="str">
        <f>IFERROR(__xludf.DUMMYFUNCTION("""COMPUTED_VALUE"""),"")</f>
        <v/>
      </c>
      <c r="Y148" t="str">
        <v>Beginner box #2, Epic box</v>
      </c>
    </row>
    <row r="149">
      <c r="A149" t="str">
        <v>SaintNicholas</v>
      </c>
      <c r="B149">
        <v>0.06</v>
      </c>
      <c r="C149" t="str">
        <v>Saint Nicholas</v>
      </c>
      <c r="D149" t="str">
        <v>https://raw.githubusercontent.com/BlackDragon2435/UnitsBGWiki/main/assets/SaintNicholas_Demonic.jpg</v>
      </c>
      <c r="E149" t="str">
        <v>Support</v>
      </c>
      <c r="F149" t="str">
        <v>N/A</v>
      </c>
      <c r="G149" t="str">
        <v>UpDamage</v>
      </c>
      <c r="H149">
        <v>35</v>
      </c>
      <c r="I149">
        <v>0</v>
      </c>
      <c r="J149" t="str">
        <v>Demonic</v>
      </c>
      <c r="K149">
        <f>IF(H149&gt;0, H149/U149, "N/A")</f>
        <v>26.92307692</v>
      </c>
      <c r="L149" t="str">
        <v>N/A</v>
      </c>
      <c r="M149">
        <v>0.05</v>
      </c>
      <c r="N149">
        <v>70</v>
      </c>
      <c r="O149" t="str">
        <v>N/A</v>
      </c>
      <c r="P149">
        <v>1.75</v>
      </c>
      <c r="Q149" t="str">
        <v>UpDamage</v>
      </c>
      <c r="R149" t="str">
        <v>N/A</v>
      </c>
      <c r="S149" t="str">
        <v>Demon</v>
      </c>
      <c r="T149">
        <v>220</v>
      </c>
      <c r="U149">
        <v>1.3</v>
      </c>
      <c r="V149" t="str">
        <v>N/A</v>
      </c>
      <c r="X149" t="str">
        <f>IFERROR(__xludf.DUMMYFUNCTION("""COMPUTED_VALUE"""),"S")</f>
        <v>S</v>
      </c>
      <c r="Y149" t="str">
        <v>Not in a provided crate</v>
      </c>
    </row>
    <row r="150">
      <c r="A150" t="str">
        <v>TheReaperSmall</v>
      </c>
      <c r="B150" t="str">
        <v>N/A</v>
      </c>
      <c r="C150" t="str">
        <v>The Reaper(Normal)</v>
      </c>
      <c r="D150" t="str">
        <v>https://raw.githubusercontent.com/BlackDragon2435/UnitsBGWiki/main/assets/TheReaperSmall_Mythic.jpg</v>
      </c>
      <c r="E150" t="str">
        <v>Warrior</v>
      </c>
      <c r="F150" t="str">
        <v>N/A</v>
      </c>
      <c r="G150" t="str">
        <v>Lifesteal</v>
      </c>
      <c r="H150">
        <v>100</v>
      </c>
      <c r="I150">
        <v>50</v>
      </c>
      <c r="J150" t="str">
        <v>Mythic</v>
      </c>
      <c r="K150">
        <f>IF(H150&gt;0, H150/U150, "N/A")</f>
        <v>44.44444444</v>
      </c>
      <c r="L150" t="str">
        <v>N/A</v>
      </c>
      <c r="M150" t="str">
        <v>N/A</v>
      </c>
      <c r="N150">
        <v>8</v>
      </c>
      <c r="O150" t="str">
        <v>N/A</v>
      </c>
      <c r="P150" t="str">
        <v>N/A</v>
      </c>
      <c r="Q150" t="str">
        <v>Lifesteal</v>
      </c>
      <c r="R150">
        <v>30</v>
      </c>
      <c r="S150" t="str">
        <v>Lifesteal</v>
      </c>
      <c r="T150">
        <v>600</v>
      </c>
      <c r="U150">
        <v>2.25</v>
      </c>
      <c r="V150" t="str">
        <v>N/A</v>
      </c>
      <c r="X150" t="str">
        <f>IFERROR(__xludf.DUMMYFUNCTION("""COMPUTED_VALUE"""),"")</f>
        <v/>
      </c>
      <c r="Y150" t="str">
        <v>The Graveyard Crate</v>
      </c>
    </row>
    <row r="151">
      <c r="A151" t="str">
        <v>BattleWizard</v>
      </c>
      <c r="B151" t="str">
        <v>N/A</v>
      </c>
      <c r="C151" t="str">
        <v>Battle Wizard</v>
      </c>
      <c r="D151" t="str">
        <v>https://raw.githubusercontent.com/BlackDragon2435/UnitsBGWiki/main/assets/BattleWizard_Rare.jpg</v>
      </c>
      <c r="E151" t="str">
        <v>Warrior</v>
      </c>
      <c r="F151" t="str">
        <v>N/A</v>
      </c>
      <c r="G151" t="str">
        <v>Frost</v>
      </c>
      <c r="H151">
        <v>20</v>
      </c>
      <c r="I151">
        <v>0</v>
      </c>
      <c r="J151" t="str">
        <v>Rare</v>
      </c>
      <c r="K151">
        <f>IF(H151&gt;0, H151/U151, "N/A")</f>
        <v>18.18181818</v>
      </c>
      <c r="L151" t="str">
        <v>N/A</v>
      </c>
      <c r="M151" t="str">
        <v>N/A</v>
      </c>
      <c r="N151">
        <v>5</v>
      </c>
      <c r="O151" t="str">
        <v>N/A</v>
      </c>
      <c r="P151" t="str">
        <v>N/A</v>
      </c>
      <c r="Q151" t="str">
        <v>Slow</v>
      </c>
      <c r="R151" t="str">
        <v>N/A</v>
      </c>
      <c r="S151" t="str">
        <v>Slow</v>
      </c>
      <c r="T151">
        <v>230</v>
      </c>
      <c r="U151">
        <v>1.1</v>
      </c>
      <c r="V151" t="str">
        <v>N/A</v>
      </c>
      <c r="X151" t="str">
        <f>IFERROR(__xludf.DUMMYFUNCTION("""COMPUTED_VALUE"""),"")</f>
        <v/>
      </c>
      <c r="Y151" t="str">
        <v>The Wizard Tower Crate</v>
      </c>
    </row>
    <row r="152">
      <c r="A152" t="str">
        <v>SkeletonArcher</v>
      </c>
      <c r="B152" t="str">
        <v>N/A</v>
      </c>
      <c r="C152" t="str">
        <v>Skeleton Archer</v>
      </c>
      <c r="D152" t="str">
        <v>https://placehold.co/60x60/cccccc/333333?text=SA</v>
      </c>
      <c r="E152" t="str">
        <v>Ranger</v>
      </c>
      <c r="F152" t="str">
        <v>N/A</v>
      </c>
      <c r="G152" t="str">
        <v>N/A</v>
      </c>
      <c r="H152">
        <v>15</v>
      </c>
      <c r="I152">
        <v>0</v>
      </c>
      <c r="J152" t="str">
        <v>Uncommon</v>
      </c>
      <c r="K152">
        <f>IF(H152&gt;0, H152/U152, "N/A")</f>
        <v>12.5</v>
      </c>
      <c r="L152" t="str">
        <v>N/A</v>
      </c>
      <c r="M152" t="str">
        <v>N/A</v>
      </c>
      <c r="N152">
        <v>30</v>
      </c>
      <c r="O152" t="str">
        <v>N/A</v>
      </c>
      <c r="P152" t="str">
        <v>N/A</v>
      </c>
      <c r="Q152" t="str">
        <v>N/A</v>
      </c>
      <c r="R152" t="str">
        <v>N/A</v>
      </c>
      <c r="S152" t="str">
        <v>N/A</v>
      </c>
      <c r="T152">
        <v>100</v>
      </c>
      <c r="U152">
        <v>1.2</v>
      </c>
      <c r="V152" t="str">
        <v>N/A</v>
      </c>
      <c r="X152" t="str">
        <f>IFERROR(__xludf.DUMMYFUNCTION("""COMPUTED_VALUE"""),"")</f>
        <v/>
      </c>
      <c r="Y152" t="str">
        <v>The Graveyard Crate</v>
      </c>
    </row>
    <row r="153">
      <c r="A153" t="str">
        <v>NoobSmall(Summon)</v>
      </c>
      <c r="B153" t="str">
        <v>N/A</v>
      </c>
      <c r="C153" t="str">
        <v>Noob</v>
      </c>
      <c r="D153" t="str">
        <v>https://placehold.co/60x60/cccccc/333333?text=NS(S)</v>
      </c>
      <c r="E153" t="str">
        <v>Warrior</v>
      </c>
      <c r="F153" t="str">
        <v>N/A</v>
      </c>
      <c r="G153" t="str">
        <v>N/A</v>
      </c>
      <c r="H153">
        <v>5</v>
      </c>
      <c r="I153">
        <v>0</v>
      </c>
      <c r="J153" t="str">
        <v>Common</v>
      </c>
      <c r="K153">
        <f>IF(H153&gt;0, H153/U153, "N/A")</f>
        <v>5</v>
      </c>
      <c r="L153" t="str">
        <v>N/A</v>
      </c>
      <c r="M153" t="str">
        <v>N/A</v>
      </c>
      <c r="N153">
        <v>6</v>
      </c>
      <c r="O153" t="str">
        <v>N/A</v>
      </c>
      <c r="P153" t="str">
        <v>N/A</v>
      </c>
      <c r="Q153" t="str">
        <v>N/A</v>
      </c>
      <c r="R153" t="str">
        <v>N/A</v>
      </c>
      <c r="S153" t="str">
        <v>N/A</v>
      </c>
      <c r="T153">
        <v>70</v>
      </c>
      <c r="U153">
        <v>1</v>
      </c>
      <c r="V153" t="str">
        <v>N/A</v>
      </c>
      <c r="X153" t="str">
        <f>IFERROR(__xludf.DUMMYFUNCTION("""COMPUTED_VALUE"""),"F")</f>
        <v>F</v>
      </c>
      <c r="Y153" t="str">
        <v>Not in a provided crate</v>
      </c>
    </row>
    <row r="154">
      <c r="A154" t="str">
        <v>Jolasveinar(Summon)</v>
      </c>
      <c r="B154" t="str">
        <v>N/A</v>
      </c>
      <c r="C154" t="str">
        <v>Yule Lad</v>
      </c>
      <c r="D154" t="str">
        <v>https://placehold.co/60x60/cccccc/333333?text=J(S)</v>
      </c>
      <c r="E154" t="str">
        <v>Warrior</v>
      </c>
      <c r="F154" t="str">
        <v>N/A</v>
      </c>
      <c r="G154" t="str">
        <v>N/A</v>
      </c>
      <c r="H154">
        <v>12</v>
      </c>
      <c r="I154">
        <v>0</v>
      </c>
      <c r="J154" t="str">
        <v>Uncommon</v>
      </c>
      <c r="K154">
        <f>IF(H154&gt;0, H154/U154, "N/A")</f>
        <v>12</v>
      </c>
      <c r="L154" t="str">
        <v>N/A</v>
      </c>
      <c r="M154" t="str">
        <v>N/A</v>
      </c>
      <c r="N154">
        <v>5</v>
      </c>
      <c r="O154" t="str">
        <v>N/A</v>
      </c>
      <c r="P154" t="str">
        <v>N/A</v>
      </c>
      <c r="Q154" t="str">
        <v>N/A</v>
      </c>
      <c r="R154" t="str">
        <v>N/A</v>
      </c>
      <c r="S154" t="str">
        <v>N/A</v>
      </c>
      <c r="T154">
        <v>90</v>
      </c>
      <c r="U154">
        <v>1</v>
      </c>
      <c r="V154" t="str">
        <v>N/A</v>
      </c>
      <c r="X154" t="str">
        <f>IFERROR(__xludf.DUMMYFUNCTION("""COMPUTED_VALUE"""),"")</f>
        <v/>
      </c>
      <c r="Y154" t="str">
        <v>Not in a provided crate</v>
      </c>
    </row>
    <row r="155">
      <c r="A155" t="str">
        <v>NecromancerWarrior(Summon)</v>
      </c>
      <c r="B155" t="str">
        <v>N/A</v>
      </c>
      <c r="C155" t="str">
        <v>Skeleton Warrior</v>
      </c>
      <c r="D155" t="str">
        <v>https://placehold.co/60x60/cccccc/333333?text=NW(S)</v>
      </c>
      <c r="E155" t="str">
        <v>Warrior</v>
      </c>
      <c r="F155" t="str">
        <v>N/A</v>
      </c>
      <c r="G155" t="str">
        <v>N/A</v>
      </c>
      <c r="H155">
        <v>12</v>
      </c>
      <c r="I155">
        <v>0</v>
      </c>
      <c r="J155" t="str">
        <v>Uncommon</v>
      </c>
      <c r="K155">
        <f>IF(H155&gt;0, H155/U155, "N/A")</f>
        <v>12</v>
      </c>
      <c r="L155" t="str">
        <v>N/A</v>
      </c>
      <c r="M155" t="str">
        <v>N/A</v>
      </c>
      <c r="N155">
        <v>5</v>
      </c>
      <c r="O155" t="str">
        <v>N/A</v>
      </c>
      <c r="P155" t="str">
        <v>N/A</v>
      </c>
      <c r="Q155" t="str">
        <v>N/A</v>
      </c>
      <c r="R155" t="str">
        <v>N/A</v>
      </c>
      <c r="S155" t="str">
        <v>N/A</v>
      </c>
      <c r="T155">
        <v>90</v>
      </c>
      <c r="U155">
        <v>1</v>
      </c>
      <c r="V155" t="str">
        <v>N/A</v>
      </c>
      <c r="X155" t="str">
        <f>IFERROR(__xludf.DUMMYFUNCTION("""COMPUTED_VALUE"""),"F")</f>
        <v>F</v>
      </c>
      <c r="Y155" t="str">
        <v>Not in a provided crate</v>
      </c>
    </row>
    <row r="156">
      <c r="A156" t="str">
        <v>SummonerBattleWizard(Summon)</v>
      </c>
      <c r="B156" t="str">
        <v>N/A</v>
      </c>
      <c r="C156" t="str">
        <v>Battle Wizard</v>
      </c>
      <c r="D156" t="str">
        <v>https://placehold.co/60x60/cccccc/333333?text=SBW(S)</v>
      </c>
      <c r="E156" t="str">
        <v>Warrior</v>
      </c>
      <c r="F156" t="str">
        <v>N/A</v>
      </c>
      <c r="G156" t="str">
        <v>Frost</v>
      </c>
      <c r="H156">
        <v>10</v>
      </c>
      <c r="I156">
        <v>0</v>
      </c>
      <c r="J156" t="str">
        <v>Epic</v>
      </c>
      <c r="K156">
        <f>IF(H156&gt;0, H156/U156, "N/A")</f>
        <v>7.692307692</v>
      </c>
      <c r="L156" t="str">
        <v>N/A</v>
      </c>
      <c r="M156" t="str">
        <v>N/A</v>
      </c>
      <c r="N156">
        <v>5</v>
      </c>
      <c r="O156" t="str">
        <v>N/A</v>
      </c>
      <c r="P156" t="str">
        <v>N/A</v>
      </c>
      <c r="Q156" t="str">
        <v>Slow</v>
      </c>
      <c r="R156" t="str">
        <v>N/A</v>
      </c>
      <c r="S156" t="str">
        <v>Slow</v>
      </c>
      <c r="T156">
        <v>85</v>
      </c>
      <c r="U156">
        <v>1.3</v>
      </c>
      <c r="V156" t="str">
        <v>N/A</v>
      </c>
      <c r="X156" t="str">
        <f>IFERROR(__xludf.DUMMYFUNCTION("""COMPUTED_VALUE"""),"")</f>
        <v/>
      </c>
      <c r="Y156" t="str">
        <v>Not in a provided crate</v>
      </c>
    </row>
    <row r="157">
      <c r="A157" t="str">
        <v>NecromancerArcher(Summon)</v>
      </c>
      <c r="B157" t="str">
        <v>N/A</v>
      </c>
      <c r="C157" t="str">
        <v>Skeleton Archer</v>
      </c>
      <c r="D157" t="str">
        <v>https://placehold.co/60x60/cccccc/333333?text=NA(S)</v>
      </c>
      <c r="E157" t="str">
        <v>Ranger</v>
      </c>
      <c r="F157" t="str">
        <v>N/A</v>
      </c>
      <c r="G157" t="str">
        <v>N/A</v>
      </c>
      <c r="H157">
        <v>12</v>
      </c>
      <c r="I157">
        <v>0</v>
      </c>
      <c r="J157" t="str">
        <v>Uncommon</v>
      </c>
      <c r="K157">
        <f>IF(H157&gt;0, H157/U157, "N/A")</f>
        <v>10</v>
      </c>
      <c r="L157" t="str">
        <v>N/A</v>
      </c>
      <c r="M157" t="str">
        <v>N/A</v>
      </c>
      <c r="N157">
        <v>25</v>
      </c>
      <c r="O157" t="str">
        <v>N/A</v>
      </c>
      <c r="P157" t="str">
        <v>N/A</v>
      </c>
      <c r="Q157" t="str">
        <v>N/A</v>
      </c>
      <c r="R157" t="str">
        <v>N/A</v>
      </c>
      <c r="S157" t="str">
        <v>N/A</v>
      </c>
      <c r="T157">
        <v>60</v>
      </c>
      <c r="U157">
        <v>1.2</v>
      </c>
      <c r="V157" t="str">
        <v>N/A</v>
      </c>
      <c r="X157" t="str">
        <f>IFERROR(__xludf.DUMMYFUNCTION("""COMPUTED_VALUE"""),"F")</f>
        <v>F</v>
      </c>
      <c r="Y157" t="str">
        <v>Not in a provided crate</v>
      </c>
    </row>
    <row r="158">
      <c r="X158" t="str">
        <f>IFERROR(__xludf.DUMMYFUNCTION("""COMPUTED_VALUE"""),"")</f>
        <v/>
      </c>
    </row>
    <row r="159">
      <c r="X159" t="str">
        <f>IFERROR(__xludf.DUMMYFUNCTION("""COMPUTED_VALUE"""),"")</f>
        <v/>
      </c>
    </row>
    <row r="160">
      <c r="X160" t="str">
        <f>IFERROR(__xludf.DUMMYFUNCTION("""COMPUTED_VALUE"""),"")</f>
        <v/>
      </c>
    </row>
    <row r="161">
      <c r="X161" t="str">
        <f>IFERROR(__xludf.DUMMYFUNCTION("""COMPUTED_VALUE"""),"")</f>
        <v/>
      </c>
    </row>
    <row r="162">
      <c r="X162" t="str">
        <f>IFERROR(__xludf.DUMMYFUNCTION("""COMPUTED_VALUE"""),"")</f>
        <v/>
      </c>
    </row>
    <row r="163">
      <c r="X163" t="str">
        <f>IFERROR(__xludf.DUMMYFUNCTION("""COMPUTED_VALUE"""),"")</f>
        <v/>
      </c>
    </row>
    <row r="164">
      <c r="X164" t="str">
        <f>IFERROR(__xludf.DUMMYFUNCTION("""COMPUTED_VALUE"""),"")</f>
        <v/>
      </c>
    </row>
    <row r="165">
      <c r="X165" t="str">
        <f>IFERROR(__xludf.DUMMYFUNCTION("""COMPUTED_VALUE"""),"")</f>
        <v/>
      </c>
    </row>
    <row r="166">
      <c r="X166" t="str">
        <f>IFERROR(__xludf.DUMMYFUNCTION("""COMPUTED_VALUE"""),"")</f>
        <v/>
      </c>
    </row>
    <row r="167">
      <c r="X167" t="str">
        <f>IFERROR(__xludf.DUMMYFUNCTION("""COMPUTED_VALUE"""),"")</f>
        <v/>
      </c>
    </row>
    <row r="168">
      <c r="X168" t="str">
        <f>IFERROR(__xludf.DUMMYFUNCTION("""COMPUTED_VALUE"""),"")</f>
        <v/>
      </c>
    </row>
    <row r="169">
      <c r="X169" t="str">
        <f>IFERROR(__xludf.DUMMYFUNCTION("""COMPUTED_VALUE"""),"")</f>
        <v/>
      </c>
    </row>
    <row r="170">
      <c r="X170" t="str">
        <f>IFERROR(__xludf.DUMMYFUNCTION("""COMPUTED_VALUE"""),"")</f>
        <v/>
      </c>
    </row>
    <row r="171">
      <c r="X171" t="str">
        <f>IFERROR(__xludf.DUMMYFUNCTION("""COMPUTED_VALUE"""),"")</f>
        <v/>
      </c>
    </row>
    <row r="172">
      <c r="X172" t="str">
        <f>IFERROR(__xludf.DUMMYFUNCTION("""COMPUTED_VALUE"""),"")</f>
        <v/>
      </c>
    </row>
    <row r="173">
      <c r="X173" t="str">
        <f>IFERROR(__xludf.DUMMYFUNCTION("""COMPUTED_VALUE"""),"")</f>
        <v/>
      </c>
    </row>
    <row r="174">
      <c r="X174" t="str">
        <f>IFERROR(__xludf.DUMMYFUNCTION("""COMPUTED_VALUE"""),"")</f>
        <v/>
      </c>
    </row>
    <row r="175">
      <c r="X175" t="str">
        <f>IFERROR(__xludf.DUMMYFUNCTION("""COMPUTED_VALUE"""),"")</f>
        <v/>
      </c>
    </row>
    <row r="176">
      <c r="X176" t="str">
        <f>IFERROR(__xludf.DUMMYFUNCTION("""COMPUTED_VALUE"""),"")</f>
        <v/>
      </c>
    </row>
    <row r="177">
      <c r="X177" t="str">
        <f>IFERROR(__xludf.DUMMYFUNCTION("""COMPUTED_VALUE"""),"")</f>
        <v/>
      </c>
    </row>
    <row r="178">
      <c r="X178" t="str">
        <f>IFERROR(__xludf.DUMMYFUNCTION("""COMPUTED_VALUE"""),"")</f>
        <v/>
      </c>
    </row>
    <row r="179">
      <c r="X179" t="str">
        <f>IFERROR(__xludf.DUMMYFUNCTION("""COMPUTED_VALUE"""),"")</f>
        <v/>
      </c>
    </row>
    <row r="180">
      <c r="X180" t="str">
        <f>IFERROR(__xludf.DUMMYFUNCTION("""COMPUTED_VALUE"""),"")</f>
        <v/>
      </c>
    </row>
    <row r="181">
      <c r="X181" t="str">
        <f>IFERROR(__xludf.DUMMYFUNCTION("""COMPUTED_VALUE"""),"")</f>
        <v/>
      </c>
    </row>
    <row r="182">
      <c r="X182" t="str">
        <f>IFERROR(__xludf.DUMMYFUNCTION("""COMPUTED_VALUE"""),"")</f>
        <v/>
      </c>
    </row>
    <row r="183">
      <c r="X183" t="str">
        <f>IFERROR(__xludf.DUMMYFUNCTION("""COMPUTED_VALUE"""),"")</f>
        <v/>
      </c>
    </row>
    <row r="184">
      <c r="X184" t="str">
        <f>IFERROR(__xludf.DUMMYFUNCTION("""COMPUTED_VALUE"""),"")</f>
        <v/>
      </c>
    </row>
    <row r="185">
      <c r="X185" t="str">
        <f>IFERROR(__xludf.DUMMYFUNCTION("""COMPUTED_VALUE"""),"")</f>
        <v/>
      </c>
    </row>
    <row r="186">
      <c r="X186" t="str">
        <f>IFERROR(__xludf.DUMMYFUNCTION("""COMPUTED_VALUE"""),"")</f>
        <v/>
      </c>
    </row>
    <row r="187">
      <c r="X187" t="str">
        <f>IFERROR(__xludf.DUMMYFUNCTION("""COMPUTED_VALUE"""),"")</f>
        <v/>
      </c>
    </row>
    <row r="188">
      <c r="X188" t="str">
        <f>IFERROR(__xludf.DUMMYFUNCTION("""COMPUTED_VALUE"""),"")</f>
        <v/>
      </c>
    </row>
    <row r="189">
      <c r="X189" t="str">
        <f>IFERROR(__xludf.DUMMYFUNCTION("""COMPUTED_VALUE"""),"")</f>
        <v/>
      </c>
    </row>
    <row r="190">
      <c r="X190" t="str">
        <f>IFERROR(__xludf.DUMMYFUNCTION("""COMPUTED_VALUE"""),"")</f>
        <v/>
      </c>
    </row>
    <row r="191">
      <c r="X191" t="str">
        <f>IFERROR(__xludf.DUMMYFUNCTION("""COMPUTED_VALUE"""),"")</f>
        <v/>
      </c>
    </row>
    <row r="192">
      <c r="X192" t="str">
        <f>IFERROR(__xludf.DUMMYFUNCTION("""COMPUTED_VALUE"""),"")</f>
        <v/>
      </c>
    </row>
    <row r="193">
      <c r="X193" t="str">
        <f>IFERROR(__xludf.DUMMYFUNCTION("""COMPUTED_VALUE"""),"")</f>
        <v/>
      </c>
    </row>
    <row r="194">
      <c r="X194" t="str">
        <f>IFERROR(__xludf.DUMMYFUNCTION("""COMPUTED_VALUE"""),"")</f>
        <v/>
      </c>
    </row>
    <row r="195">
      <c r="X195" t="str">
        <f>IFERROR(__xludf.DUMMYFUNCTION("""COMPUTED_VALUE"""),"")</f>
        <v/>
      </c>
    </row>
    <row r="196">
      <c r="X196" t="str">
        <f>IFERROR(__xludf.DUMMYFUNCTION("""COMPUTED_VALUE"""),"")</f>
        <v/>
      </c>
    </row>
    <row r="197">
      <c r="X197" t="str">
        <f>IFERROR(__xludf.DUMMYFUNCTION("""COMPUTED_VALUE"""),"")</f>
        <v/>
      </c>
    </row>
    <row r="198">
      <c r="X198" t="str">
        <f>IFERROR(__xludf.DUMMYFUNCTION("""COMPUTED_VALUE"""),"")</f>
        <v/>
      </c>
    </row>
    <row r="199">
      <c r="X199" t="str">
        <f>IFERROR(__xludf.DUMMYFUNCTION("""COMPUTED_VALUE"""),"")</f>
        <v/>
      </c>
    </row>
    <row r="200">
      <c r="X200" t="str">
        <f>IFERROR(__xludf.DUMMYFUNCTION("""COMPUTED_VALUE"""),"")</f>
        <v/>
      </c>
    </row>
    <row r="201">
      <c r="X201" t="str">
        <f>IFERROR(__xludf.DUMMYFUNCTION("""COMPUTED_VALUE"""),"")</f>
        <v/>
      </c>
    </row>
    <row r="202">
      <c r="X202" t="str">
        <f>IFERROR(__xludf.DUMMYFUNCTION("""COMPUTED_VALUE"""),"")</f>
        <v/>
      </c>
    </row>
    <row r="203">
      <c r="X203" t="str">
        <f>IFERROR(__xludf.DUMMYFUNCTION("""COMPUTED_VALUE"""),"")</f>
        <v/>
      </c>
    </row>
    <row r="204">
      <c r="X204" t="str">
        <f>IFERROR(__xludf.DUMMYFUNCTION("""COMPUTED_VALUE"""),"")</f>
        <v/>
      </c>
    </row>
    <row r="205">
      <c r="X205" t="str">
        <f>IFERROR(__xludf.DUMMYFUNCTION("""COMPUTED_VALUE"""),"")</f>
        <v/>
      </c>
    </row>
    <row r="206">
      <c r="X206" t="str">
        <f>IFERROR(__xludf.DUMMYFUNCTION("""COMPUTED_VALUE"""),"")</f>
        <v/>
      </c>
    </row>
    <row r="207">
      <c r="X207" t="str">
        <f>IFERROR(__xludf.DUMMYFUNCTION("""COMPUTED_VALUE"""),"")</f>
        <v/>
      </c>
    </row>
    <row r="208">
      <c r="X208" t="str">
        <f>IFERROR(__xludf.DUMMYFUNCTION("""COMPUTED_VALUE"""),"")</f>
        <v/>
      </c>
    </row>
    <row r="209">
      <c r="X209" t="str">
        <f>IFERROR(__xludf.DUMMYFUNCTION("""COMPUTED_VALUE"""),"")</f>
        <v/>
      </c>
    </row>
    <row r="210">
      <c r="X210" t="str">
        <f>IFERROR(__xludf.DUMMYFUNCTION("""COMPUTED_VALUE"""),"")</f>
        <v/>
      </c>
    </row>
    <row r="211">
      <c r="X211" t="str">
        <f>IFERROR(__xludf.DUMMYFUNCTION("""COMPUTED_VALUE"""),"")</f>
        <v/>
      </c>
    </row>
    <row r="212">
      <c r="X212" t="str">
        <f>IFERROR(__xludf.DUMMYFUNCTION("""COMPUTED_VALUE"""),"")</f>
        <v/>
      </c>
    </row>
    <row r="213">
      <c r="X213" t="str">
        <f>IFERROR(__xludf.DUMMYFUNCTION("""COMPUTED_VALUE"""),"")</f>
        <v/>
      </c>
    </row>
    <row r="214">
      <c r="X214" t="str">
        <f>IFERROR(__xludf.DUMMYFUNCTION("""COMPUTED_VALUE"""),"")</f>
        <v/>
      </c>
    </row>
    <row r="215">
      <c r="X215" t="str">
        <f>IFERROR(__xludf.DUMMYFUNCTION("""COMPUTED_VALUE"""),"")</f>
        <v/>
      </c>
    </row>
    <row r="216">
      <c r="X216" t="str">
        <f>IFERROR(__xludf.DUMMYFUNCTION("""COMPUTED_VALUE"""),"")</f>
        <v/>
      </c>
    </row>
    <row r="217">
      <c r="X217" t="str">
        <f>IFERROR(__xludf.DUMMYFUNCTION("""COMPUTED_VALUE"""),"")</f>
        <v/>
      </c>
    </row>
    <row r="218">
      <c r="X218" t="str">
        <f>IFERROR(__xludf.DUMMYFUNCTION("""COMPUTED_VALUE"""),"")</f>
        <v/>
      </c>
    </row>
    <row r="219">
      <c r="X219" t="str">
        <f>IFERROR(__xludf.DUMMYFUNCTION("""COMPUTED_VALUE"""),"")</f>
        <v/>
      </c>
    </row>
    <row r="220">
      <c r="X220" t="str">
        <f>IFERROR(__xludf.DUMMYFUNCTION("""COMPUTED_VALUE"""),"")</f>
        <v/>
      </c>
    </row>
    <row r="221">
      <c r="X221" t="str">
        <f>IFERROR(__xludf.DUMMYFUNCTION("""COMPUTED_VALUE"""),"")</f>
        <v/>
      </c>
    </row>
    <row r="222">
      <c r="X222" t="str">
        <f>IFERROR(__xludf.DUMMYFUNCTION("""COMPUTED_VALUE"""),"")</f>
        <v/>
      </c>
    </row>
    <row r="223">
      <c r="X223" t="str">
        <f>IFERROR(__xludf.DUMMYFUNCTION("""COMPUTED_VALUE"""),"")</f>
        <v/>
      </c>
    </row>
    <row r="224">
      <c r="X224" t="str">
        <f>IFERROR(__xludf.DUMMYFUNCTION("""COMPUTED_VALUE"""),"")</f>
        <v/>
      </c>
    </row>
    <row r="225">
      <c r="X225" t="str">
        <f>IFERROR(__xludf.DUMMYFUNCTION("""COMPUTED_VALUE"""),"")</f>
        <v/>
      </c>
    </row>
    <row r="226">
      <c r="X226" t="str">
        <f>IFERROR(__xludf.DUMMYFUNCTION("""COMPUTED_VALUE"""),"")</f>
        <v/>
      </c>
    </row>
    <row r="227">
      <c r="X227" t="str">
        <f>IFERROR(__xludf.DUMMYFUNCTION("""COMPUTED_VALUE"""),"")</f>
        <v/>
      </c>
    </row>
    <row r="228">
      <c r="X228" t="str">
        <f>IFERROR(__xludf.DUMMYFUNCTION("""COMPUTED_VALUE"""),"")</f>
        <v/>
      </c>
    </row>
    <row r="229">
      <c r="X229" t="str">
        <f>IFERROR(__xludf.DUMMYFUNCTION("""COMPUTED_VALUE"""),"")</f>
        <v/>
      </c>
    </row>
    <row r="230">
      <c r="X230" t="str">
        <f>IFERROR(__xludf.DUMMYFUNCTION("""COMPUTED_VALUE"""),"")</f>
        <v/>
      </c>
    </row>
    <row r="231">
      <c r="X231" t="str">
        <f>IFERROR(__xludf.DUMMYFUNCTION("""COMPUTED_VALUE"""),"")</f>
        <v/>
      </c>
    </row>
    <row r="232">
      <c r="X232" t="str">
        <f>IFERROR(__xludf.DUMMYFUNCTION("""COMPUTED_VALUE"""),"")</f>
        <v/>
      </c>
    </row>
    <row r="233">
      <c r="X233" t="str">
        <f>IFERROR(__xludf.DUMMYFUNCTION("""COMPUTED_VALUE"""),"")</f>
        <v/>
      </c>
    </row>
    <row r="234">
      <c r="X234" t="str">
        <f>IFERROR(__xludf.DUMMYFUNCTION("""COMPUTED_VALUE"""),"")</f>
        <v/>
      </c>
    </row>
    <row r="235">
      <c r="X235" t="str">
        <f>IFERROR(__xludf.DUMMYFUNCTION("""COMPUTED_VALUE"""),"")</f>
        <v/>
      </c>
    </row>
    <row r="236">
      <c r="X236" t="str">
        <f>IFERROR(__xludf.DUMMYFUNCTION("""COMPUTED_VALUE"""),"")</f>
        <v/>
      </c>
    </row>
    <row r="237">
      <c r="X237" t="str">
        <f>IFERROR(__xludf.DUMMYFUNCTION("""COMPUTED_VALUE"""),"")</f>
        <v/>
      </c>
    </row>
    <row r="238">
      <c r="X238" t="str">
        <f>IFERROR(__xludf.DUMMYFUNCTION("""COMPUTED_VALUE"""),"")</f>
        <v/>
      </c>
    </row>
    <row r="239">
      <c r="X239" t="str">
        <f>IFERROR(__xludf.DUMMYFUNCTION("""COMPUTED_VALUE"""),"")</f>
        <v/>
      </c>
    </row>
    <row r="240">
      <c r="X240" t="str">
        <f>IFERROR(__xludf.DUMMYFUNCTION("""COMPUTED_VALUE"""),"")</f>
        <v/>
      </c>
    </row>
    <row r="241">
      <c r="X241" t="str">
        <f>IFERROR(__xludf.DUMMYFUNCTION("""COMPUTED_VALUE"""),"")</f>
        <v/>
      </c>
    </row>
    <row r="242">
      <c r="X242" t="str">
        <f>IFERROR(__xludf.DUMMYFUNCTION("""COMPUTED_VALUE"""),"")</f>
        <v/>
      </c>
    </row>
    <row r="243">
      <c r="X243" t="str">
        <f>IFERROR(__xludf.DUMMYFUNCTION("""COMPUTED_VALUE"""),"")</f>
        <v/>
      </c>
    </row>
    <row r="244">
      <c r="X244" t="str">
        <f>IFERROR(__xludf.DUMMYFUNCTION("""COMPUTED_VALUE"""),"")</f>
        <v/>
      </c>
    </row>
    <row r="245">
      <c r="X245" t="str">
        <f>IFERROR(__xludf.DUMMYFUNCTION("""COMPUTED_VALUE"""),"")</f>
        <v/>
      </c>
    </row>
    <row r="246">
      <c r="X246" t="str">
        <f>IFERROR(__xludf.DUMMYFUNCTION("""COMPUTED_VALUE"""),"")</f>
        <v/>
      </c>
    </row>
    <row r="247">
      <c r="X247" t="str">
        <f>IFERROR(__xludf.DUMMYFUNCTION("""COMPUTED_VALUE"""),"")</f>
        <v/>
      </c>
    </row>
    <row r="248">
      <c r="X248" t="str">
        <f>IFERROR(__xludf.DUMMYFUNCTION("""COMPUTED_VALUE"""),"")</f>
        <v/>
      </c>
    </row>
    <row r="249">
      <c r="X249" t="str">
        <f>IFERROR(__xludf.DUMMYFUNCTION("""COMPUTED_VALUE"""),"")</f>
        <v/>
      </c>
    </row>
    <row r="250">
      <c r="X250" t="str">
        <f>IFERROR(__xludf.DUMMYFUNCTION("""COMPUTED_VALUE"""),"")</f>
        <v/>
      </c>
    </row>
    <row r="251">
      <c r="X251" t="str">
        <f>IFERROR(__xludf.DUMMYFUNCTION("""COMPUTED_VALUE"""),"")</f>
        <v/>
      </c>
    </row>
    <row r="252">
      <c r="X252" t="str">
        <f>IFERROR(__xludf.DUMMYFUNCTION("""COMPUTED_VALUE"""),"")</f>
        <v/>
      </c>
    </row>
    <row r="253">
      <c r="X253" t="str">
        <f>IFERROR(__xludf.DUMMYFUNCTION("""COMPUTED_VALUE"""),"")</f>
        <v/>
      </c>
    </row>
    <row r="254">
      <c r="X254" t="str">
        <f>IFERROR(__xludf.DUMMYFUNCTION("""COMPUTED_VALUE"""),"")</f>
        <v/>
      </c>
    </row>
    <row r="255">
      <c r="X255" t="str">
        <f>IFERROR(__xludf.DUMMYFUNCTION("""COMPUTED_VALUE"""),"")</f>
        <v/>
      </c>
    </row>
    <row r="256">
      <c r="X256" t="str">
        <f>IFERROR(__xludf.DUMMYFUNCTION("""COMPUTED_VALUE"""),"")</f>
        <v/>
      </c>
    </row>
    <row r="257">
      <c r="X257" t="str">
        <f>IFERROR(__xludf.DUMMYFUNCTION("""COMPUTED_VALUE"""),"")</f>
        <v/>
      </c>
    </row>
    <row r="258">
      <c r="X258" t="str">
        <f>IFERROR(__xludf.DUMMYFUNCTION("""COMPUTED_VALUE"""),"")</f>
        <v/>
      </c>
    </row>
    <row r="259">
      <c r="X259" t="str">
        <f>IFERROR(__xludf.DUMMYFUNCTION("""COMPUTED_VALUE"""),"")</f>
        <v/>
      </c>
    </row>
    <row r="260">
      <c r="X260" t="str">
        <f>IFERROR(__xludf.DUMMYFUNCTION("""COMPUTED_VALUE"""),"")</f>
        <v/>
      </c>
    </row>
    <row r="261">
      <c r="X261" t="str">
        <f>IFERROR(__xludf.DUMMYFUNCTION("""COMPUTED_VALUE"""),"")</f>
        <v/>
      </c>
    </row>
    <row r="262">
      <c r="X262" t="str">
        <f>IFERROR(__xludf.DUMMYFUNCTION("""COMPUTED_VALUE"""),"")</f>
        <v/>
      </c>
    </row>
    <row r="263">
      <c r="X263" t="str">
        <f>IFERROR(__xludf.DUMMYFUNCTION("""COMPUTED_VALUE"""),"")</f>
        <v/>
      </c>
    </row>
    <row r="264">
      <c r="X264" t="str">
        <f>IFERROR(__xludf.DUMMYFUNCTION("""COMPUTED_VALUE"""),"")</f>
        <v/>
      </c>
    </row>
    <row r="265">
      <c r="X265" t="str">
        <f>IFERROR(__xludf.DUMMYFUNCTION("""COMPUTED_VALUE"""),"")</f>
        <v/>
      </c>
    </row>
    <row r="266">
      <c r="X266" t="str">
        <f>IFERROR(__xludf.DUMMYFUNCTION("""COMPUTED_VALUE"""),"")</f>
        <v/>
      </c>
    </row>
    <row r="267">
      <c r="X267" t="str">
        <f>IFERROR(__xludf.DUMMYFUNCTION("""COMPUTED_VALUE"""),"")</f>
        <v/>
      </c>
    </row>
    <row r="268">
      <c r="X268" t="str">
        <f>IFERROR(__xludf.DUMMYFUNCTION("""COMPUTED_VALUE"""),"")</f>
        <v/>
      </c>
    </row>
    <row r="269">
      <c r="X269" t="str">
        <f>IFERROR(__xludf.DUMMYFUNCTION("""COMPUTED_VALUE"""),"")</f>
        <v/>
      </c>
    </row>
    <row r="270">
      <c r="X270" t="str">
        <f>IFERROR(__xludf.DUMMYFUNCTION("""COMPUTED_VALUE"""),"")</f>
        <v/>
      </c>
    </row>
    <row r="271">
      <c r="X271" t="str">
        <f>IFERROR(__xludf.DUMMYFUNCTION("""COMPUTED_VALUE"""),"")</f>
        <v/>
      </c>
    </row>
    <row r="272">
      <c r="X272" t="str">
        <f>IFERROR(__xludf.DUMMYFUNCTION("""COMPUTED_VALUE"""),"")</f>
        <v/>
      </c>
    </row>
    <row r="273">
      <c r="X273" t="str">
        <f>IFERROR(__xludf.DUMMYFUNCTION("""COMPUTED_VALUE"""),"")</f>
        <v/>
      </c>
    </row>
    <row r="274">
      <c r="X274" t="str">
        <f>IFERROR(__xludf.DUMMYFUNCTION("""COMPUTED_VALUE"""),"")</f>
        <v/>
      </c>
    </row>
    <row r="275">
      <c r="X275" t="str">
        <f>IFERROR(__xludf.DUMMYFUNCTION("""COMPUTED_VALUE"""),"")</f>
        <v/>
      </c>
    </row>
    <row r="276">
      <c r="X276" t="str">
        <f>IFERROR(__xludf.DUMMYFUNCTION("""COMPUTED_VALUE"""),"")</f>
        <v/>
      </c>
    </row>
    <row r="277">
      <c r="X277" t="str">
        <f>IFERROR(__xludf.DUMMYFUNCTION("""COMPUTED_VALUE"""),"")</f>
        <v/>
      </c>
    </row>
    <row r="278">
      <c r="X278" t="str">
        <f>IFERROR(__xludf.DUMMYFUNCTION("""COMPUTED_VALUE"""),"")</f>
        <v/>
      </c>
    </row>
    <row r="279">
      <c r="X279" t="str">
        <f>IFERROR(__xludf.DUMMYFUNCTION("""COMPUTED_VALUE"""),"")</f>
        <v/>
      </c>
    </row>
    <row r="280">
      <c r="X280" t="str">
        <f>IFERROR(__xludf.DUMMYFUNCTION("""COMPUTED_VALUE"""),"")</f>
        <v/>
      </c>
    </row>
    <row r="281">
      <c r="X281" t="str">
        <f>IFERROR(__xludf.DUMMYFUNCTION("""COMPUTED_VALUE"""),"")</f>
        <v/>
      </c>
    </row>
    <row r="282">
      <c r="X282" t="str">
        <f>IFERROR(__xludf.DUMMYFUNCTION("""COMPUTED_VALUE"""),"")</f>
        <v/>
      </c>
    </row>
    <row r="283">
      <c r="X283" t="str">
        <f>IFERROR(__xludf.DUMMYFUNCTION("""COMPUTED_VALUE"""),"")</f>
        <v/>
      </c>
    </row>
    <row r="284">
      <c r="X284" t="str">
        <f>IFERROR(__xludf.DUMMYFUNCTION("""COMPUTED_VALUE"""),"")</f>
        <v/>
      </c>
    </row>
    <row r="285">
      <c r="X285" t="str">
        <f>IFERROR(__xludf.DUMMYFUNCTION("""COMPUTED_VALUE"""),"")</f>
        <v/>
      </c>
    </row>
    <row r="286">
      <c r="X286" t="str">
        <f>IFERROR(__xludf.DUMMYFUNCTION("""COMPUTED_VALUE"""),"")</f>
        <v/>
      </c>
    </row>
    <row r="287">
      <c r="X287" t="str">
        <f>IFERROR(__xludf.DUMMYFUNCTION("""COMPUTED_VALUE"""),"")</f>
        <v/>
      </c>
    </row>
    <row r="288">
      <c r="X288" t="str">
        <f>IFERROR(__xludf.DUMMYFUNCTION("""COMPUTED_VALUE"""),"")</f>
        <v/>
      </c>
    </row>
    <row r="289">
      <c r="X289" t="str">
        <f>IFERROR(__xludf.DUMMYFUNCTION("""COMPUTED_VALUE"""),"")</f>
        <v/>
      </c>
    </row>
    <row r="290">
      <c r="X290" t="str">
        <f>IFERROR(__xludf.DUMMYFUNCTION("""COMPUTED_VALUE"""),"")</f>
        <v/>
      </c>
    </row>
    <row r="291">
      <c r="X291" t="str">
        <f>IFERROR(__xludf.DUMMYFUNCTION("""COMPUTED_VALUE"""),"")</f>
        <v/>
      </c>
    </row>
    <row r="292">
      <c r="X292" t="str">
        <f>IFERROR(__xludf.DUMMYFUNCTION("""COMPUTED_VALUE"""),"")</f>
        <v/>
      </c>
    </row>
    <row r="293">
      <c r="X293" t="str">
        <f>IFERROR(__xludf.DUMMYFUNCTION("""COMPUTED_VALUE"""),"")</f>
        <v/>
      </c>
    </row>
    <row r="294">
      <c r="X294" t="str">
        <f>IFERROR(__xludf.DUMMYFUNCTION("""COMPUTED_VALUE"""),"")</f>
        <v/>
      </c>
    </row>
    <row r="295">
      <c r="X295" t="str">
        <f>IFERROR(__xludf.DUMMYFUNCTION("""COMPUTED_VALUE"""),"")</f>
        <v/>
      </c>
    </row>
    <row r="296">
      <c r="X296" t="str">
        <f>IFERROR(__xludf.DUMMYFUNCTION("""COMPUTED_VALUE"""),"")</f>
        <v/>
      </c>
    </row>
    <row r="297">
      <c r="X297" t="str">
        <f>IFERROR(__xludf.DUMMYFUNCTION("""COMPUTED_VALUE"""),"")</f>
        <v/>
      </c>
    </row>
    <row r="298">
      <c r="X298" t="str">
        <f>IFERROR(__xludf.DUMMYFUNCTION("""COMPUTED_VALUE"""),"")</f>
        <v/>
      </c>
    </row>
    <row r="299">
      <c r="X299" t="str">
        <f>IFERROR(__xludf.DUMMYFUNCTION("""COMPUTED_VALUE"""),"")</f>
        <v/>
      </c>
    </row>
    <row r="300">
      <c r="X300" t="str">
        <f>IFERROR(__xludf.DUMMYFUNCTION("""COMPUTED_VALUE"""),"")</f>
        <v/>
      </c>
    </row>
    <row r="301">
      <c r="X301" t="str">
        <f>IFERROR(__xludf.DUMMYFUNCTION("""COMPUTED_VALUE"""),"")</f>
        <v/>
      </c>
    </row>
    <row r="302">
      <c r="X302" t="str">
        <f>IFERROR(__xludf.DUMMYFUNCTION("""COMPUTED_VALUE"""),"")</f>
        <v/>
      </c>
    </row>
    <row r="303">
      <c r="X303" t="str">
        <f>IFERROR(__xludf.DUMMYFUNCTION("""COMPUTED_VALUE"""),"")</f>
        <v/>
      </c>
    </row>
    <row r="304">
      <c r="X304" t="str">
        <f>IFERROR(__xludf.DUMMYFUNCTION("""COMPUTED_VALUE"""),"")</f>
        <v/>
      </c>
    </row>
    <row r="305">
      <c r="X305" t="str">
        <f>IFERROR(__xludf.DUMMYFUNCTION("""COMPUTED_VALUE"""),"")</f>
        <v/>
      </c>
    </row>
    <row r="306">
      <c r="X306" t="str">
        <f>IFERROR(__xludf.DUMMYFUNCTION("""COMPUTED_VALUE"""),"")</f>
        <v/>
      </c>
    </row>
    <row r="307">
      <c r="X307" t="str">
        <f>IFERROR(__xludf.DUMMYFUNCTION("""COMPUTED_VALUE"""),"")</f>
        <v/>
      </c>
    </row>
    <row r="308">
      <c r="X308" t="str">
        <f>IFERROR(__xludf.DUMMYFUNCTION("""COMPUTED_VALUE"""),"")</f>
        <v/>
      </c>
    </row>
    <row r="309">
      <c r="X309" t="str">
        <f>IFERROR(__xludf.DUMMYFUNCTION("""COMPUTED_VALUE"""),"")</f>
        <v/>
      </c>
    </row>
    <row r="310">
      <c r="X310" t="str">
        <f>IFERROR(__xludf.DUMMYFUNCTION("""COMPUTED_VALUE"""),"")</f>
        <v/>
      </c>
    </row>
    <row r="311">
      <c r="X311" t="str">
        <f>IFERROR(__xludf.DUMMYFUNCTION("""COMPUTED_VALUE"""),"")</f>
        <v/>
      </c>
    </row>
    <row r="312">
      <c r="X312" t="str">
        <f>IFERROR(__xludf.DUMMYFUNCTION("""COMPUTED_VALUE"""),"")</f>
        <v/>
      </c>
    </row>
    <row r="313">
      <c r="X313" t="str">
        <f>IFERROR(__xludf.DUMMYFUNCTION("""COMPUTED_VALUE"""),"")</f>
        <v/>
      </c>
    </row>
    <row r="314">
      <c r="X314" t="str">
        <f>IFERROR(__xludf.DUMMYFUNCTION("""COMPUTED_VALUE"""),"")</f>
        <v/>
      </c>
    </row>
    <row r="315">
      <c r="X315" t="str">
        <f>IFERROR(__xludf.DUMMYFUNCTION("""COMPUTED_VALUE"""),"")</f>
        <v/>
      </c>
    </row>
    <row r="316">
      <c r="X316" t="str">
        <f>IFERROR(__xludf.DUMMYFUNCTION("""COMPUTED_VALUE"""),"")</f>
        <v/>
      </c>
    </row>
    <row r="317">
      <c r="X317" t="str">
        <f>IFERROR(__xludf.DUMMYFUNCTION("""COMPUTED_VALUE"""),"")</f>
        <v/>
      </c>
    </row>
    <row r="318">
      <c r="X318" t="str">
        <f>IFERROR(__xludf.DUMMYFUNCTION("""COMPUTED_VALUE"""),"")</f>
        <v/>
      </c>
    </row>
    <row r="319">
      <c r="X319" t="str">
        <f>IFERROR(__xludf.DUMMYFUNCTION("""COMPUTED_VALUE"""),"")</f>
        <v/>
      </c>
    </row>
    <row r="320">
      <c r="X320" t="str">
        <f>IFERROR(__xludf.DUMMYFUNCTION("""COMPUTED_VALUE"""),"")</f>
        <v/>
      </c>
    </row>
    <row r="321">
      <c r="X321" t="str">
        <f>IFERROR(__xludf.DUMMYFUNCTION("""COMPUTED_VALUE"""),"")</f>
        <v/>
      </c>
    </row>
    <row r="322">
      <c r="X322" t="str">
        <f>IFERROR(__xludf.DUMMYFUNCTION("""COMPUTED_VALUE"""),"")</f>
        <v/>
      </c>
    </row>
    <row r="323">
      <c r="X323" t="str">
        <f>IFERROR(__xludf.DUMMYFUNCTION("""COMPUTED_VALUE"""),"")</f>
        <v/>
      </c>
    </row>
    <row r="324">
      <c r="X324" t="str">
        <f>IFERROR(__xludf.DUMMYFUNCTION("""COMPUTED_VALUE"""),"")</f>
        <v/>
      </c>
    </row>
    <row r="325">
      <c r="X325" t="str">
        <f>IFERROR(__xludf.DUMMYFUNCTION("""COMPUTED_VALUE"""),"")</f>
        <v/>
      </c>
    </row>
    <row r="326">
      <c r="X326" t="str">
        <f>IFERROR(__xludf.DUMMYFUNCTION("""COMPUTED_VALUE"""),"")</f>
        <v/>
      </c>
    </row>
    <row r="327">
      <c r="X327" t="str">
        <f>IFERROR(__xludf.DUMMYFUNCTION("""COMPUTED_VALUE"""),"")</f>
        <v/>
      </c>
    </row>
    <row r="328">
      <c r="X328" t="str">
        <f>IFERROR(__xludf.DUMMYFUNCTION("""COMPUTED_VALUE"""),"")</f>
        <v/>
      </c>
    </row>
    <row r="329">
      <c r="X329" t="str">
        <f>IFERROR(__xludf.DUMMYFUNCTION("""COMPUTED_VALUE"""),"")</f>
        <v/>
      </c>
    </row>
    <row r="330">
      <c r="X330" t="str">
        <f>IFERROR(__xludf.DUMMYFUNCTION("""COMPUTED_VALUE"""),"")</f>
        <v/>
      </c>
    </row>
    <row r="331">
      <c r="X331" t="str">
        <f>IFERROR(__xludf.DUMMYFUNCTION("""COMPUTED_VALUE"""),"")</f>
        <v/>
      </c>
    </row>
    <row r="332">
      <c r="X332" t="str">
        <f>IFERROR(__xludf.DUMMYFUNCTION("""COMPUTED_VALUE"""),"")</f>
        <v/>
      </c>
    </row>
    <row r="333">
      <c r="X333" t="str">
        <f>IFERROR(__xludf.DUMMYFUNCTION("""COMPUTED_VALUE"""),"")</f>
        <v/>
      </c>
    </row>
    <row r="334">
      <c r="X334" t="str">
        <f>IFERROR(__xludf.DUMMYFUNCTION("""COMPUTED_VALUE"""),"")</f>
        <v/>
      </c>
    </row>
    <row r="335">
      <c r="X335" t="str">
        <f>IFERROR(__xludf.DUMMYFUNCTION("""COMPUTED_VALUE"""),"")</f>
        <v/>
      </c>
    </row>
    <row r="336">
      <c r="X336" t="str">
        <f>IFERROR(__xludf.DUMMYFUNCTION("""COMPUTED_VALUE"""),"")</f>
        <v/>
      </c>
    </row>
    <row r="337">
      <c r="X337" t="str">
        <f>IFERROR(__xludf.DUMMYFUNCTION("""COMPUTED_VALUE"""),"")</f>
        <v/>
      </c>
    </row>
    <row r="338">
      <c r="X338" t="str">
        <f>IFERROR(__xludf.DUMMYFUNCTION("""COMPUTED_VALUE"""),"")</f>
        <v/>
      </c>
    </row>
    <row r="339">
      <c r="X339" t="str">
        <f>IFERROR(__xludf.DUMMYFUNCTION("""COMPUTED_VALUE"""),"")</f>
        <v/>
      </c>
    </row>
    <row r="340">
      <c r="X340" t="str">
        <f>IFERROR(__xludf.DUMMYFUNCTION("""COMPUTED_VALUE"""),"")</f>
        <v/>
      </c>
    </row>
    <row r="341">
      <c r="X341" t="str">
        <f>IFERROR(__xludf.DUMMYFUNCTION("""COMPUTED_VALUE"""),"")</f>
        <v/>
      </c>
    </row>
    <row r="342">
      <c r="X342" t="str">
        <f>IFERROR(__xludf.DUMMYFUNCTION("""COMPUTED_VALUE"""),"")</f>
        <v/>
      </c>
    </row>
    <row r="343">
      <c r="X343" t="str">
        <f>IFERROR(__xludf.DUMMYFUNCTION("""COMPUTED_VALUE"""),"")</f>
        <v/>
      </c>
    </row>
    <row r="344">
      <c r="X344" t="str">
        <f>IFERROR(__xludf.DUMMYFUNCTION("""COMPUTED_VALUE"""),"")</f>
        <v/>
      </c>
    </row>
    <row r="345">
      <c r="X345" t="str">
        <f>IFERROR(__xludf.DUMMYFUNCTION("""COMPUTED_VALUE"""),"")</f>
        <v/>
      </c>
    </row>
    <row r="346">
      <c r="X346" t="str">
        <f>IFERROR(__xludf.DUMMYFUNCTION("""COMPUTED_VALUE"""),"")</f>
        <v/>
      </c>
    </row>
    <row r="347">
      <c r="X347" t="str">
        <f>IFERROR(__xludf.DUMMYFUNCTION("""COMPUTED_VALUE"""),"")</f>
        <v/>
      </c>
    </row>
    <row r="348">
      <c r="X348" t="str">
        <f>IFERROR(__xludf.DUMMYFUNCTION("""COMPUTED_VALUE"""),"")</f>
        <v/>
      </c>
    </row>
    <row r="349">
      <c r="X349" t="str">
        <f>IFERROR(__xludf.DUMMYFUNCTION("""COMPUTED_VALUE"""),"")</f>
        <v/>
      </c>
    </row>
    <row r="350">
      <c r="X350" t="str">
        <f>IFERROR(__xludf.DUMMYFUNCTION("""COMPUTED_VALUE"""),"")</f>
        <v/>
      </c>
    </row>
    <row r="351">
      <c r="X351" t="str">
        <f>IFERROR(__xludf.DUMMYFUNCTION("""COMPUTED_VALUE"""),"")</f>
        <v/>
      </c>
    </row>
    <row r="352">
      <c r="X352" t="str">
        <f>IFERROR(__xludf.DUMMYFUNCTION("""COMPUTED_VALUE"""),"")</f>
        <v/>
      </c>
    </row>
    <row r="353">
      <c r="X353" t="str">
        <f>IFERROR(__xludf.DUMMYFUNCTION("""COMPUTED_VALUE"""),"")</f>
        <v/>
      </c>
    </row>
    <row r="354">
      <c r="X354" t="str">
        <f>IFERROR(__xludf.DUMMYFUNCTION("""COMPUTED_VALUE"""),"")</f>
        <v/>
      </c>
    </row>
    <row r="355">
      <c r="X355" t="str">
        <f>IFERROR(__xludf.DUMMYFUNCTION("""COMPUTED_VALUE"""),"")</f>
        <v/>
      </c>
    </row>
    <row r="356">
      <c r="X356" t="str">
        <f>IFERROR(__xludf.DUMMYFUNCTION("""COMPUTED_VALUE"""),"")</f>
        <v/>
      </c>
    </row>
    <row r="357">
      <c r="X357" t="str">
        <f>IFERROR(__xludf.DUMMYFUNCTION("""COMPUTED_VALUE"""),"")</f>
        <v/>
      </c>
    </row>
    <row r="358">
      <c r="X358" t="str">
        <f>IFERROR(__xludf.DUMMYFUNCTION("""COMPUTED_VALUE"""),"")</f>
        <v/>
      </c>
    </row>
    <row r="359">
      <c r="X359" t="str">
        <f>IFERROR(__xludf.DUMMYFUNCTION("""COMPUTED_VALUE"""),"")</f>
        <v/>
      </c>
    </row>
    <row r="360">
      <c r="X360" t="str">
        <f>IFERROR(__xludf.DUMMYFUNCTION("""COMPUTED_VALUE"""),"")</f>
        <v/>
      </c>
    </row>
    <row r="361">
      <c r="X361" t="str">
        <f>IFERROR(__xludf.DUMMYFUNCTION("""COMPUTED_VALUE"""),"")</f>
        <v/>
      </c>
    </row>
    <row r="362">
      <c r="X362" t="str">
        <f>IFERROR(__xludf.DUMMYFUNCTION("""COMPUTED_VALUE"""),"")</f>
        <v/>
      </c>
    </row>
    <row r="363">
      <c r="X363" t="str">
        <f>IFERROR(__xludf.DUMMYFUNCTION("""COMPUTED_VALUE"""),"")</f>
        <v/>
      </c>
    </row>
    <row r="364">
      <c r="X364" t="str">
        <f>IFERROR(__xludf.DUMMYFUNCTION("""COMPUTED_VALUE"""),"")</f>
        <v/>
      </c>
    </row>
    <row r="365">
      <c r="X365" t="str">
        <f>IFERROR(__xludf.DUMMYFUNCTION("""COMPUTED_VALUE"""),"")</f>
        <v/>
      </c>
    </row>
    <row r="366">
      <c r="X366" t="str">
        <f>IFERROR(__xludf.DUMMYFUNCTION("""COMPUTED_VALUE"""),"")</f>
        <v/>
      </c>
    </row>
    <row r="367">
      <c r="X367" t="str">
        <f>IFERROR(__xludf.DUMMYFUNCTION("""COMPUTED_VALUE"""),"")</f>
        <v/>
      </c>
    </row>
    <row r="368">
      <c r="X368" t="str">
        <f>IFERROR(__xludf.DUMMYFUNCTION("""COMPUTED_VALUE"""),"")</f>
        <v/>
      </c>
    </row>
    <row r="369">
      <c r="X369" t="str">
        <f>IFERROR(__xludf.DUMMYFUNCTION("""COMPUTED_VALUE"""),"")</f>
        <v/>
      </c>
    </row>
    <row r="370">
      <c r="X370" t="str">
        <f>IFERROR(__xludf.DUMMYFUNCTION("""COMPUTED_VALUE"""),"")</f>
        <v/>
      </c>
    </row>
    <row r="371">
      <c r="X371" t="str">
        <f>IFERROR(__xludf.DUMMYFUNCTION("""COMPUTED_VALUE"""),"")</f>
        <v/>
      </c>
    </row>
    <row r="372">
      <c r="X372" t="str">
        <f>IFERROR(__xludf.DUMMYFUNCTION("""COMPUTED_VALUE"""),"")</f>
        <v/>
      </c>
    </row>
    <row r="373">
      <c r="X373" t="str">
        <f>IFERROR(__xludf.DUMMYFUNCTION("""COMPUTED_VALUE"""),"")</f>
        <v/>
      </c>
    </row>
    <row r="374">
      <c r="X374" t="str">
        <f>IFERROR(__xludf.DUMMYFUNCTION("""COMPUTED_VALUE"""),"")</f>
        <v/>
      </c>
    </row>
    <row r="375">
      <c r="X375" t="str">
        <f>IFERROR(__xludf.DUMMYFUNCTION("""COMPUTED_VALUE"""),"")</f>
        <v/>
      </c>
    </row>
    <row r="376">
      <c r="X376" t="str">
        <f>IFERROR(__xludf.DUMMYFUNCTION("""COMPUTED_VALUE"""),"")</f>
        <v/>
      </c>
    </row>
    <row r="377">
      <c r="X377" t="str">
        <f>IFERROR(__xludf.DUMMYFUNCTION("""COMPUTED_VALUE"""),"")</f>
        <v/>
      </c>
    </row>
    <row r="378">
      <c r="X378" t="str">
        <f>IFERROR(__xludf.DUMMYFUNCTION("""COMPUTED_VALUE"""),"")</f>
        <v/>
      </c>
    </row>
    <row r="379">
      <c r="X379" t="str">
        <f>IFERROR(__xludf.DUMMYFUNCTION("""COMPUTED_VALUE"""),"")</f>
        <v/>
      </c>
    </row>
    <row r="380">
      <c r="X380" t="str">
        <f>IFERROR(__xludf.DUMMYFUNCTION("""COMPUTED_VALUE"""),"")</f>
        <v/>
      </c>
    </row>
    <row r="381">
      <c r="X381" t="str">
        <f>IFERROR(__xludf.DUMMYFUNCTION("""COMPUTED_VALUE"""),"")</f>
        <v/>
      </c>
    </row>
    <row r="382">
      <c r="X382" t="str">
        <f>IFERROR(__xludf.DUMMYFUNCTION("""COMPUTED_VALUE"""),"")</f>
        <v/>
      </c>
    </row>
    <row r="383">
      <c r="X383" t="str">
        <f>IFERROR(__xludf.DUMMYFUNCTION("""COMPUTED_VALUE"""),"")</f>
        <v/>
      </c>
    </row>
    <row r="384">
      <c r="X384" t="str">
        <f>IFERROR(__xludf.DUMMYFUNCTION("""COMPUTED_VALUE"""),"")</f>
        <v/>
      </c>
    </row>
    <row r="385">
      <c r="X385" t="str">
        <f>IFERROR(__xludf.DUMMYFUNCTION("""COMPUTED_VALUE"""),"")</f>
        <v/>
      </c>
    </row>
    <row r="386">
      <c r="X386" t="str">
        <f>IFERROR(__xludf.DUMMYFUNCTION("""COMPUTED_VALUE"""),"")</f>
        <v/>
      </c>
    </row>
    <row r="387">
      <c r="X387" t="str">
        <f>IFERROR(__xludf.DUMMYFUNCTION("""COMPUTED_VALUE"""),"")</f>
        <v/>
      </c>
    </row>
    <row r="388">
      <c r="X388" t="str">
        <f>IFERROR(__xludf.DUMMYFUNCTION("""COMPUTED_VALUE"""),"")</f>
        <v/>
      </c>
    </row>
    <row r="389">
      <c r="X389" t="str">
        <f>IFERROR(__xludf.DUMMYFUNCTION("""COMPUTED_VALUE"""),"")</f>
        <v/>
      </c>
    </row>
    <row r="390">
      <c r="X390" t="str">
        <f>IFERROR(__xludf.DUMMYFUNCTION("""COMPUTED_VALUE"""),"")</f>
        <v/>
      </c>
    </row>
    <row r="391">
      <c r="X391" t="str">
        <f>IFERROR(__xludf.DUMMYFUNCTION("""COMPUTED_VALUE"""),"")</f>
        <v/>
      </c>
    </row>
    <row r="392">
      <c r="X392" t="str">
        <f>IFERROR(__xludf.DUMMYFUNCTION("""COMPUTED_VALUE"""),"")</f>
        <v/>
      </c>
    </row>
    <row r="393">
      <c r="X393" t="str">
        <f>IFERROR(__xludf.DUMMYFUNCTION("""COMPUTED_VALUE"""),"")</f>
        <v/>
      </c>
    </row>
    <row r="394">
      <c r="X394" t="str">
        <f>IFERROR(__xludf.DUMMYFUNCTION("""COMPUTED_VALUE"""),"")</f>
        <v/>
      </c>
    </row>
    <row r="395">
      <c r="X395" t="str">
        <f>IFERROR(__xludf.DUMMYFUNCTION("""COMPUTED_VALUE"""),"")</f>
        <v/>
      </c>
    </row>
    <row r="396">
      <c r="X396" t="str">
        <f>IFERROR(__xludf.DUMMYFUNCTION("""COMPUTED_VALUE"""),"")</f>
        <v/>
      </c>
    </row>
    <row r="397">
      <c r="X397" t="str">
        <f>IFERROR(__xludf.DUMMYFUNCTION("""COMPUTED_VALUE"""),"")</f>
        <v/>
      </c>
    </row>
    <row r="398">
      <c r="X398" t="str">
        <f>IFERROR(__xludf.DUMMYFUNCTION("""COMPUTED_VALUE"""),"")</f>
        <v/>
      </c>
    </row>
    <row r="399">
      <c r="X399" t="str">
        <f>IFERROR(__xludf.DUMMYFUNCTION("""COMPUTED_VALUE"""),"")</f>
        <v/>
      </c>
    </row>
    <row r="400">
      <c r="X400" t="str">
        <f>IFERROR(__xludf.DUMMYFUNCTION("""COMPUTED_VALUE"""),"")</f>
        <v/>
      </c>
    </row>
    <row r="401">
      <c r="X401" t="str">
        <f>IFERROR(__xludf.DUMMYFUNCTION("""COMPUTED_VALUE"""),"")</f>
        <v/>
      </c>
    </row>
    <row r="402">
      <c r="X402" t="str">
        <f>IFERROR(__xludf.DUMMYFUNCTION("""COMPUTED_VALUE"""),"")</f>
        <v/>
      </c>
    </row>
    <row r="403">
      <c r="X403" t="str">
        <f>IFERROR(__xludf.DUMMYFUNCTION("""COMPUTED_VALUE"""),"")</f>
        <v/>
      </c>
    </row>
    <row r="404">
      <c r="X404" t="str">
        <f>IFERROR(__xludf.DUMMYFUNCTION("""COMPUTED_VALUE"""),"")</f>
        <v/>
      </c>
    </row>
    <row r="405">
      <c r="X405" t="str">
        <f>IFERROR(__xludf.DUMMYFUNCTION("""COMPUTED_VALUE"""),"")</f>
        <v/>
      </c>
    </row>
    <row r="406">
      <c r="X406" t="str">
        <f>IFERROR(__xludf.DUMMYFUNCTION("""COMPUTED_VALUE"""),"")</f>
        <v/>
      </c>
    </row>
    <row r="407">
      <c r="X407" t="str">
        <f>IFERROR(__xludf.DUMMYFUNCTION("""COMPUTED_VALUE"""),"")</f>
        <v/>
      </c>
    </row>
    <row r="408">
      <c r="X408" t="str">
        <f>IFERROR(__xludf.DUMMYFUNCTION("""COMPUTED_VALUE"""),"")</f>
        <v/>
      </c>
    </row>
    <row r="409">
      <c r="X409" t="str">
        <f>IFERROR(__xludf.DUMMYFUNCTION("""COMPUTED_VALUE"""),"")</f>
        <v/>
      </c>
    </row>
    <row r="410">
      <c r="X410" t="str">
        <f>IFERROR(__xludf.DUMMYFUNCTION("""COMPUTED_VALUE"""),"")</f>
        <v/>
      </c>
    </row>
    <row r="411">
      <c r="X411" t="str">
        <f>IFERROR(__xludf.DUMMYFUNCTION("""COMPUTED_VALUE"""),"")</f>
        <v/>
      </c>
    </row>
    <row r="412">
      <c r="X412" t="str">
        <f>IFERROR(__xludf.DUMMYFUNCTION("""COMPUTED_VALUE"""),"")</f>
        <v/>
      </c>
    </row>
    <row r="413">
      <c r="X413" t="str">
        <f>IFERROR(__xludf.DUMMYFUNCTION("""COMPUTED_VALUE"""),"")</f>
        <v/>
      </c>
    </row>
    <row r="414">
      <c r="X414" t="str">
        <f>IFERROR(__xludf.DUMMYFUNCTION("""COMPUTED_VALUE"""),"")</f>
        <v/>
      </c>
    </row>
    <row r="415">
      <c r="X415" t="str">
        <f>IFERROR(__xludf.DUMMYFUNCTION("""COMPUTED_VALUE"""),"")</f>
        <v/>
      </c>
    </row>
    <row r="416">
      <c r="X416" t="str">
        <f>IFERROR(__xludf.DUMMYFUNCTION("""COMPUTED_VALUE"""),"")</f>
        <v/>
      </c>
    </row>
    <row r="417">
      <c r="X417" t="str">
        <f>IFERROR(__xludf.DUMMYFUNCTION("""COMPUTED_VALUE"""),"")</f>
        <v/>
      </c>
    </row>
    <row r="418">
      <c r="X418" t="str">
        <f>IFERROR(__xludf.DUMMYFUNCTION("""COMPUTED_VALUE"""),"")</f>
        <v/>
      </c>
    </row>
    <row r="419">
      <c r="X419" t="str">
        <f>IFERROR(__xludf.DUMMYFUNCTION("""COMPUTED_VALUE"""),"")</f>
        <v/>
      </c>
    </row>
    <row r="420">
      <c r="X420" t="str">
        <f>IFERROR(__xludf.DUMMYFUNCTION("""COMPUTED_VALUE"""),"")</f>
        <v/>
      </c>
    </row>
    <row r="421">
      <c r="X421" t="str">
        <f>IFERROR(__xludf.DUMMYFUNCTION("""COMPUTED_VALUE"""),"")</f>
        <v/>
      </c>
    </row>
    <row r="422">
      <c r="X422" t="str">
        <f>IFERROR(__xludf.DUMMYFUNCTION("""COMPUTED_VALUE"""),"")</f>
        <v/>
      </c>
    </row>
    <row r="423">
      <c r="X423" t="str">
        <f>IFERROR(__xludf.DUMMYFUNCTION("""COMPUTED_VALUE"""),"")</f>
        <v/>
      </c>
    </row>
    <row r="424">
      <c r="X424" t="str">
        <f>IFERROR(__xludf.DUMMYFUNCTION("""COMPUTED_VALUE"""),"")</f>
        <v/>
      </c>
    </row>
    <row r="425">
      <c r="X425" t="str">
        <f>IFERROR(__xludf.DUMMYFUNCTION("""COMPUTED_VALUE"""),"")</f>
        <v/>
      </c>
    </row>
    <row r="426">
      <c r="X426" t="str">
        <f>IFERROR(__xludf.DUMMYFUNCTION("""COMPUTED_VALUE"""),"")</f>
        <v/>
      </c>
    </row>
    <row r="427">
      <c r="X427" t="str">
        <f>IFERROR(__xludf.DUMMYFUNCTION("""COMPUTED_VALUE"""),"")</f>
        <v/>
      </c>
    </row>
    <row r="428">
      <c r="X428" t="str">
        <f>IFERROR(__xludf.DUMMYFUNCTION("""COMPUTED_VALUE"""),"")</f>
        <v/>
      </c>
    </row>
    <row r="429">
      <c r="X429" t="str">
        <f>IFERROR(__xludf.DUMMYFUNCTION("""COMPUTED_VALUE"""),"")</f>
        <v/>
      </c>
    </row>
    <row r="430">
      <c r="X430" t="str">
        <f>IFERROR(__xludf.DUMMYFUNCTION("""COMPUTED_VALUE"""),"")</f>
        <v/>
      </c>
    </row>
    <row r="431">
      <c r="X431" t="str">
        <f>IFERROR(__xludf.DUMMYFUNCTION("""COMPUTED_VALUE"""),"")</f>
        <v/>
      </c>
    </row>
    <row r="432">
      <c r="X432" t="str">
        <f>IFERROR(__xludf.DUMMYFUNCTION("""COMPUTED_VALUE"""),"")</f>
        <v/>
      </c>
    </row>
    <row r="433">
      <c r="X433" t="str">
        <f>IFERROR(__xludf.DUMMYFUNCTION("""COMPUTED_VALUE"""),"")</f>
        <v/>
      </c>
    </row>
    <row r="434">
      <c r="X434" t="str">
        <f>IFERROR(__xludf.DUMMYFUNCTION("""COMPUTED_VALUE"""),"")</f>
        <v/>
      </c>
    </row>
    <row r="435">
      <c r="X435" t="str">
        <f>IFERROR(__xludf.DUMMYFUNCTION("""COMPUTED_VALUE"""),"")</f>
        <v/>
      </c>
    </row>
    <row r="436">
      <c r="X436" t="str">
        <f>IFERROR(__xludf.DUMMYFUNCTION("""COMPUTED_VALUE"""),"")</f>
        <v/>
      </c>
    </row>
    <row r="437">
      <c r="X437" t="str">
        <f>IFERROR(__xludf.DUMMYFUNCTION("""COMPUTED_VALUE"""),"")</f>
        <v/>
      </c>
    </row>
    <row r="438">
      <c r="X438" t="str">
        <f>IFERROR(__xludf.DUMMYFUNCTION("""COMPUTED_VALUE"""),"")</f>
        <v/>
      </c>
    </row>
    <row r="439">
      <c r="X439" t="str">
        <f>IFERROR(__xludf.DUMMYFUNCTION("""COMPUTED_VALUE"""),"")</f>
        <v/>
      </c>
    </row>
    <row r="440">
      <c r="X440" t="str">
        <f>IFERROR(__xludf.DUMMYFUNCTION("""COMPUTED_VALUE"""),"")</f>
        <v/>
      </c>
    </row>
    <row r="441">
      <c r="X441" t="str">
        <f>IFERROR(__xludf.DUMMYFUNCTION("""COMPUTED_VALUE"""),"")</f>
        <v/>
      </c>
    </row>
    <row r="442">
      <c r="X442" t="str">
        <f>IFERROR(__xludf.DUMMYFUNCTION("""COMPUTED_VALUE"""),"")</f>
        <v/>
      </c>
    </row>
    <row r="443">
      <c r="X443" t="str">
        <f>IFERROR(__xludf.DUMMYFUNCTION("""COMPUTED_VALUE"""),"")</f>
        <v/>
      </c>
    </row>
    <row r="444">
      <c r="X444" t="str">
        <f>IFERROR(__xludf.DUMMYFUNCTION("""COMPUTED_VALUE"""),"")</f>
        <v/>
      </c>
    </row>
    <row r="445">
      <c r="X445" t="str">
        <f>IFERROR(__xludf.DUMMYFUNCTION("""COMPUTED_VALUE"""),"")</f>
        <v/>
      </c>
    </row>
    <row r="446">
      <c r="X446" t="str">
        <f>IFERROR(__xludf.DUMMYFUNCTION("""COMPUTED_VALUE"""),"")</f>
        <v/>
      </c>
    </row>
    <row r="447">
      <c r="X447" t="str">
        <f>IFERROR(__xludf.DUMMYFUNCTION("""COMPUTED_VALUE"""),"")</f>
        <v/>
      </c>
    </row>
    <row r="448">
      <c r="X448" t="str">
        <f>IFERROR(__xludf.DUMMYFUNCTION("""COMPUTED_VALUE"""),"")</f>
        <v/>
      </c>
    </row>
    <row r="449">
      <c r="X449" t="str">
        <f>IFERROR(__xludf.DUMMYFUNCTION("""COMPUTED_VALUE"""),"")</f>
        <v/>
      </c>
    </row>
    <row r="450">
      <c r="X450" t="str">
        <f>IFERROR(__xludf.DUMMYFUNCTION("""COMPUTED_VALUE"""),"")</f>
        <v/>
      </c>
    </row>
    <row r="451">
      <c r="X451" t="str">
        <f>IFERROR(__xludf.DUMMYFUNCTION("""COMPUTED_VALUE"""),"")</f>
        <v/>
      </c>
    </row>
    <row r="452">
      <c r="X452" t="str">
        <f>IFERROR(__xludf.DUMMYFUNCTION("""COMPUTED_VALUE"""),"")</f>
        <v/>
      </c>
    </row>
    <row r="453">
      <c r="X453" t="str">
        <f>IFERROR(__xludf.DUMMYFUNCTION("""COMPUTED_VALUE"""),"")</f>
        <v/>
      </c>
    </row>
    <row r="454">
      <c r="X454" t="str">
        <f>IFERROR(__xludf.DUMMYFUNCTION("""COMPUTED_VALUE"""),"")</f>
        <v/>
      </c>
    </row>
    <row r="455">
      <c r="X455" t="str">
        <f>IFERROR(__xludf.DUMMYFUNCTION("""COMPUTED_VALUE"""),"")</f>
        <v/>
      </c>
    </row>
    <row r="456">
      <c r="X456" t="str">
        <f>IFERROR(__xludf.DUMMYFUNCTION("""COMPUTED_VALUE"""),"")</f>
        <v/>
      </c>
    </row>
    <row r="457">
      <c r="X457" t="str">
        <f>IFERROR(__xludf.DUMMYFUNCTION("""COMPUTED_VALUE"""),"")</f>
        <v/>
      </c>
    </row>
    <row r="458">
      <c r="X458" t="str">
        <f>IFERROR(__xludf.DUMMYFUNCTION("""COMPUTED_VALUE"""),"")</f>
        <v/>
      </c>
    </row>
    <row r="459">
      <c r="X459" t="str">
        <f>IFERROR(__xludf.DUMMYFUNCTION("""COMPUTED_VALUE"""),"")</f>
        <v/>
      </c>
    </row>
    <row r="460">
      <c r="X460" t="str">
        <f>IFERROR(__xludf.DUMMYFUNCTION("""COMPUTED_VALUE"""),"")</f>
        <v/>
      </c>
    </row>
    <row r="461">
      <c r="X461" t="str">
        <f>IFERROR(__xludf.DUMMYFUNCTION("""COMPUTED_VALUE"""),"")</f>
        <v/>
      </c>
    </row>
    <row r="462">
      <c r="X462" t="str">
        <f>IFERROR(__xludf.DUMMYFUNCTION("""COMPUTED_VALUE"""),"")</f>
        <v/>
      </c>
    </row>
    <row r="463">
      <c r="X463" t="str">
        <f>IFERROR(__xludf.DUMMYFUNCTION("""COMPUTED_VALUE"""),"")</f>
        <v/>
      </c>
    </row>
    <row r="464">
      <c r="X464" t="str">
        <f>IFERROR(__xludf.DUMMYFUNCTION("""COMPUTED_VALUE"""),"")</f>
        <v/>
      </c>
    </row>
    <row r="465">
      <c r="X465" t="str">
        <f>IFERROR(__xludf.DUMMYFUNCTION("""COMPUTED_VALUE"""),"")</f>
        <v/>
      </c>
    </row>
    <row r="466">
      <c r="X466" t="str">
        <f>IFERROR(__xludf.DUMMYFUNCTION("""COMPUTED_VALUE"""),"")</f>
        <v/>
      </c>
    </row>
    <row r="467">
      <c r="X467" t="str">
        <f>IFERROR(__xludf.DUMMYFUNCTION("""COMPUTED_VALUE"""),"")</f>
        <v/>
      </c>
    </row>
    <row r="468">
      <c r="X468" t="str">
        <f>IFERROR(__xludf.DUMMYFUNCTION("""COMPUTED_VALUE"""),"")</f>
        <v/>
      </c>
    </row>
    <row r="469">
      <c r="X469" t="str">
        <f>IFERROR(__xludf.DUMMYFUNCTION("""COMPUTED_VALUE"""),"")</f>
        <v/>
      </c>
    </row>
    <row r="470">
      <c r="X470" t="str">
        <f>IFERROR(__xludf.DUMMYFUNCTION("""COMPUTED_VALUE"""),"")</f>
        <v/>
      </c>
    </row>
    <row r="471">
      <c r="X471" t="str">
        <f>IFERROR(__xludf.DUMMYFUNCTION("""COMPUTED_VALUE"""),"")</f>
        <v/>
      </c>
    </row>
    <row r="472">
      <c r="X472" t="str">
        <f>IFERROR(__xludf.DUMMYFUNCTION("""COMPUTED_VALUE"""),"")</f>
        <v/>
      </c>
    </row>
    <row r="473">
      <c r="X473" t="str">
        <f>IFERROR(__xludf.DUMMYFUNCTION("""COMPUTED_VALUE"""),"")</f>
        <v/>
      </c>
    </row>
    <row r="474">
      <c r="X474" t="str">
        <f>IFERROR(__xludf.DUMMYFUNCTION("""COMPUTED_VALUE"""),"")</f>
        <v/>
      </c>
    </row>
    <row r="475">
      <c r="X475" t="str">
        <f>IFERROR(__xludf.DUMMYFUNCTION("""COMPUTED_VALUE"""),"")</f>
        <v/>
      </c>
    </row>
    <row r="476">
      <c r="X476" t="str">
        <f>IFERROR(__xludf.DUMMYFUNCTION("""COMPUTED_VALUE"""),"")</f>
        <v/>
      </c>
    </row>
    <row r="477">
      <c r="X477" t="str">
        <f>IFERROR(__xludf.DUMMYFUNCTION("""COMPUTED_VALUE"""),"")</f>
        <v/>
      </c>
    </row>
    <row r="478">
      <c r="X478" t="str">
        <f>IFERROR(__xludf.DUMMYFUNCTION("""COMPUTED_VALUE"""),"")</f>
        <v/>
      </c>
    </row>
    <row r="479">
      <c r="X479" t="str">
        <f>IFERROR(__xludf.DUMMYFUNCTION("""COMPUTED_VALUE"""),"")</f>
        <v/>
      </c>
    </row>
    <row r="480">
      <c r="X480" t="str">
        <f>IFERROR(__xludf.DUMMYFUNCTION("""COMPUTED_VALUE"""),"")</f>
        <v/>
      </c>
    </row>
    <row r="481">
      <c r="X481" t="str">
        <f>IFERROR(__xludf.DUMMYFUNCTION("""COMPUTED_VALUE"""),"")</f>
        <v/>
      </c>
    </row>
    <row r="482">
      <c r="X482" t="str">
        <f>IFERROR(__xludf.DUMMYFUNCTION("""COMPUTED_VALUE"""),"")</f>
        <v/>
      </c>
    </row>
    <row r="483">
      <c r="X483" t="str">
        <f>IFERROR(__xludf.DUMMYFUNCTION("""COMPUTED_VALUE"""),"")</f>
        <v/>
      </c>
    </row>
    <row r="484">
      <c r="X484" t="str">
        <f>IFERROR(__xludf.DUMMYFUNCTION("""COMPUTED_VALUE"""),"")</f>
        <v/>
      </c>
    </row>
    <row r="485">
      <c r="X485" t="str">
        <f>IFERROR(__xludf.DUMMYFUNCTION("""COMPUTED_VALUE"""),"")</f>
        <v/>
      </c>
    </row>
    <row r="486">
      <c r="X486" t="str">
        <f>IFERROR(__xludf.DUMMYFUNCTION("""COMPUTED_VALUE"""),"")</f>
        <v/>
      </c>
    </row>
    <row r="487">
      <c r="X487" t="str">
        <f>IFERROR(__xludf.DUMMYFUNCTION("""COMPUTED_VALUE"""),"")</f>
        <v/>
      </c>
    </row>
    <row r="488">
      <c r="X488" t="str">
        <f>IFERROR(__xludf.DUMMYFUNCTION("""COMPUTED_VALUE"""),"")</f>
        <v/>
      </c>
    </row>
    <row r="489">
      <c r="X489" t="str">
        <f>IFERROR(__xludf.DUMMYFUNCTION("""COMPUTED_VALUE"""),"")</f>
        <v/>
      </c>
    </row>
    <row r="490">
      <c r="X490" t="str">
        <f>IFERROR(__xludf.DUMMYFUNCTION("""COMPUTED_VALUE"""),"")</f>
        <v/>
      </c>
    </row>
    <row r="491">
      <c r="X491" t="str">
        <f>IFERROR(__xludf.DUMMYFUNCTION("""COMPUTED_VALUE"""),"")</f>
        <v/>
      </c>
    </row>
    <row r="492">
      <c r="X492" t="str">
        <f>IFERROR(__xludf.DUMMYFUNCTION("""COMPUTED_VALUE"""),"")</f>
        <v/>
      </c>
    </row>
    <row r="493">
      <c r="X493" t="str">
        <f>IFERROR(__xludf.DUMMYFUNCTION("""COMPUTED_VALUE"""),"")</f>
        <v/>
      </c>
    </row>
    <row r="494">
      <c r="X494" t="str">
        <f>IFERROR(__xludf.DUMMYFUNCTION("""COMPUTED_VALUE"""),"")</f>
        <v/>
      </c>
    </row>
    <row r="495">
      <c r="X495" t="str">
        <f>IFERROR(__xludf.DUMMYFUNCTION("""COMPUTED_VALUE"""),"")</f>
        <v/>
      </c>
    </row>
    <row r="496">
      <c r="X496" t="str">
        <f>IFERROR(__xludf.DUMMYFUNCTION("""COMPUTED_VALUE"""),"")</f>
        <v/>
      </c>
    </row>
    <row r="497">
      <c r="X497" t="str">
        <f>IFERROR(__xludf.DUMMYFUNCTION("""COMPUTED_VALUE"""),"")</f>
        <v/>
      </c>
    </row>
    <row r="498">
      <c r="X498" t="str">
        <f>IFERROR(__xludf.DUMMYFUNCTION("""COMPUTED_VALUE"""),"")</f>
        <v/>
      </c>
    </row>
    <row r="499">
      <c r="X499" t="str">
        <f>IFERROR(__xludf.DUMMYFUNCTION("""COMPUTED_VALUE"""),"")</f>
        <v/>
      </c>
    </row>
    <row r="500">
      <c r="X500" t="str">
        <f>IFERROR(__xludf.DUMMYFUNCTION("""COMPUTED_VALUE"""),"")</f>
        <v/>
      </c>
    </row>
    <row r="501">
      <c r="X501" t="str">
        <f>IFERROR(__xludf.DUMMYFUNCTION("""COMPUTED_VALUE"""),"")</f>
        <v/>
      </c>
    </row>
    <row r="502">
      <c r="X502" t="str">
        <f>IFERROR(__xludf.DUMMYFUNCTION("""COMPUTED_VALUE"""),"")</f>
        <v/>
      </c>
    </row>
    <row r="503">
      <c r="X503" t="str">
        <f>IFERROR(__xludf.DUMMYFUNCTION("""COMPUTED_VALUE"""),"")</f>
        <v/>
      </c>
    </row>
    <row r="504">
      <c r="X504" t="str">
        <f>IFERROR(__xludf.DUMMYFUNCTION("""COMPUTED_VALUE"""),"")</f>
        <v/>
      </c>
    </row>
    <row r="505">
      <c r="X505" t="str">
        <f>IFERROR(__xludf.DUMMYFUNCTION("""COMPUTED_VALUE"""),"")</f>
        <v/>
      </c>
    </row>
    <row r="506">
      <c r="X506" t="str">
        <f>IFERROR(__xludf.DUMMYFUNCTION("""COMPUTED_VALUE"""),"")</f>
        <v/>
      </c>
    </row>
    <row r="507">
      <c r="X507" t="str">
        <f>IFERROR(__xludf.DUMMYFUNCTION("""COMPUTED_VALUE"""),"")</f>
        <v/>
      </c>
    </row>
    <row r="508">
      <c r="X508" t="str">
        <f>IFERROR(__xludf.DUMMYFUNCTION("""COMPUTED_VALUE"""),"")</f>
        <v/>
      </c>
    </row>
    <row r="509">
      <c r="X509" t="str">
        <f>IFERROR(__xludf.DUMMYFUNCTION("""COMPUTED_VALUE"""),"")</f>
        <v/>
      </c>
    </row>
    <row r="510">
      <c r="X510" t="str">
        <f>IFERROR(__xludf.DUMMYFUNCTION("""COMPUTED_VALUE"""),"")</f>
        <v/>
      </c>
    </row>
    <row r="511">
      <c r="X511" t="str">
        <f>IFERROR(__xludf.DUMMYFUNCTION("""COMPUTED_VALUE"""),"")</f>
        <v/>
      </c>
    </row>
    <row r="512">
      <c r="X512" t="str">
        <f>IFERROR(__xludf.DUMMYFUNCTION("""COMPUTED_VALUE"""),"")</f>
        <v/>
      </c>
    </row>
    <row r="513">
      <c r="X513" t="str">
        <f>IFERROR(__xludf.DUMMYFUNCTION("""COMPUTED_VALUE"""),"")</f>
        <v/>
      </c>
    </row>
    <row r="514">
      <c r="X514" t="str">
        <f>IFERROR(__xludf.DUMMYFUNCTION("""COMPUTED_VALUE"""),"")</f>
        <v/>
      </c>
    </row>
    <row r="515">
      <c r="X515" t="str">
        <f>IFERROR(__xludf.DUMMYFUNCTION("""COMPUTED_VALUE"""),"")</f>
        <v/>
      </c>
    </row>
    <row r="516">
      <c r="X516" t="str">
        <f>IFERROR(__xludf.DUMMYFUNCTION("""COMPUTED_VALUE"""),"")</f>
        <v/>
      </c>
    </row>
    <row r="517">
      <c r="X517" t="str">
        <f>IFERROR(__xludf.DUMMYFUNCTION("""COMPUTED_VALUE"""),"")</f>
        <v/>
      </c>
    </row>
    <row r="518">
      <c r="X518" t="str">
        <f>IFERROR(__xludf.DUMMYFUNCTION("""COMPUTED_VALUE"""),"")</f>
        <v/>
      </c>
    </row>
    <row r="519">
      <c r="X519" t="str">
        <f>IFERROR(__xludf.DUMMYFUNCTION("""COMPUTED_VALUE"""),"")</f>
        <v/>
      </c>
    </row>
    <row r="520">
      <c r="X520" t="str">
        <f>IFERROR(__xludf.DUMMYFUNCTION("""COMPUTED_VALUE"""),"")</f>
        <v/>
      </c>
    </row>
    <row r="521">
      <c r="X521" t="str">
        <f>IFERROR(__xludf.DUMMYFUNCTION("""COMPUTED_VALUE"""),"")</f>
        <v/>
      </c>
    </row>
    <row r="522">
      <c r="X522" t="str">
        <f>IFERROR(__xludf.DUMMYFUNCTION("""COMPUTED_VALUE"""),"")</f>
        <v/>
      </c>
    </row>
    <row r="523">
      <c r="X523" t="str">
        <f>IFERROR(__xludf.DUMMYFUNCTION("""COMPUTED_VALUE"""),"")</f>
        <v/>
      </c>
    </row>
    <row r="524">
      <c r="X524" t="str">
        <f>IFERROR(__xludf.DUMMYFUNCTION("""COMPUTED_VALUE"""),"")</f>
        <v/>
      </c>
    </row>
    <row r="525">
      <c r="X525" t="str">
        <f>IFERROR(__xludf.DUMMYFUNCTION("""COMPUTED_VALUE"""),"")</f>
        <v/>
      </c>
    </row>
    <row r="526">
      <c r="X526" t="str">
        <f>IFERROR(__xludf.DUMMYFUNCTION("""COMPUTED_VALUE"""),"")</f>
        <v/>
      </c>
    </row>
    <row r="527">
      <c r="X527" t="str">
        <f>IFERROR(__xludf.DUMMYFUNCTION("""COMPUTED_VALUE"""),"")</f>
        <v/>
      </c>
    </row>
    <row r="528">
      <c r="X528" t="str">
        <f>IFERROR(__xludf.DUMMYFUNCTION("""COMPUTED_VALUE"""),"")</f>
        <v/>
      </c>
    </row>
    <row r="529">
      <c r="X529" t="str">
        <f>IFERROR(__xludf.DUMMYFUNCTION("""COMPUTED_VALUE"""),"")</f>
        <v/>
      </c>
    </row>
    <row r="530">
      <c r="X530" t="str">
        <f>IFERROR(__xludf.DUMMYFUNCTION("""COMPUTED_VALUE"""),"")</f>
        <v/>
      </c>
    </row>
    <row r="531">
      <c r="X531" t="str">
        <f>IFERROR(__xludf.DUMMYFUNCTION("""COMPUTED_VALUE"""),"")</f>
        <v/>
      </c>
    </row>
    <row r="532">
      <c r="X532" t="str">
        <f>IFERROR(__xludf.DUMMYFUNCTION("""COMPUTED_VALUE"""),"")</f>
        <v/>
      </c>
    </row>
    <row r="533">
      <c r="X533" t="str">
        <f>IFERROR(__xludf.DUMMYFUNCTION("""COMPUTED_VALUE"""),"")</f>
        <v/>
      </c>
    </row>
    <row r="534">
      <c r="X534" t="str">
        <f>IFERROR(__xludf.DUMMYFUNCTION("""COMPUTED_VALUE"""),"")</f>
        <v/>
      </c>
    </row>
    <row r="535">
      <c r="X535" t="str">
        <f>IFERROR(__xludf.DUMMYFUNCTION("""COMPUTED_VALUE"""),"")</f>
        <v/>
      </c>
    </row>
    <row r="536">
      <c r="X536" t="str">
        <f>IFERROR(__xludf.DUMMYFUNCTION("""COMPUTED_VALUE"""),"")</f>
        <v/>
      </c>
    </row>
    <row r="537">
      <c r="X537" t="str">
        <f>IFERROR(__xludf.DUMMYFUNCTION("""COMPUTED_VALUE"""),"")</f>
        <v/>
      </c>
    </row>
    <row r="538">
      <c r="X538" t="str">
        <f>IFERROR(__xludf.DUMMYFUNCTION("""COMPUTED_VALUE"""),"")</f>
        <v/>
      </c>
    </row>
    <row r="539">
      <c r="X539" t="str">
        <f>IFERROR(__xludf.DUMMYFUNCTION("""COMPUTED_VALUE"""),"")</f>
        <v/>
      </c>
    </row>
    <row r="540">
      <c r="X540" t="str">
        <f>IFERROR(__xludf.DUMMYFUNCTION("""COMPUTED_VALUE"""),"")</f>
        <v/>
      </c>
    </row>
    <row r="541">
      <c r="X541" t="str">
        <f>IFERROR(__xludf.DUMMYFUNCTION("""COMPUTED_VALUE"""),"")</f>
        <v/>
      </c>
    </row>
    <row r="542">
      <c r="X542" t="str">
        <f>IFERROR(__xludf.DUMMYFUNCTION("""COMPUTED_VALUE"""),"")</f>
        <v/>
      </c>
    </row>
    <row r="543">
      <c r="X543" t="str">
        <f>IFERROR(__xludf.DUMMYFUNCTION("""COMPUTED_VALUE"""),"")</f>
        <v/>
      </c>
    </row>
    <row r="544">
      <c r="X544" t="str">
        <f>IFERROR(__xludf.DUMMYFUNCTION("""COMPUTED_VALUE"""),"")</f>
        <v/>
      </c>
    </row>
    <row r="545">
      <c r="X545" t="str">
        <f>IFERROR(__xludf.DUMMYFUNCTION("""COMPUTED_VALUE"""),"")</f>
        <v/>
      </c>
    </row>
    <row r="546">
      <c r="X546" t="str">
        <f>IFERROR(__xludf.DUMMYFUNCTION("""COMPUTED_VALUE"""),"")</f>
        <v/>
      </c>
    </row>
    <row r="547">
      <c r="X547" t="str">
        <f>IFERROR(__xludf.DUMMYFUNCTION("""COMPUTED_VALUE"""),"")</f>
        <v/>
      </c>
    </row>
    <row r="548">
      <c r="X548" t="str">
        <f>IFERROR(__xludf.DUMMYFUNCTION("""COMPUTED_VALUE"""),"")</f>
        <v/>
      </c>
    </row>
    <row r="549">
      <c r="X549" t="str">
        <f>IFERROR(__xludf.DUMMYFUNCTION("""COMPUTED_VALUE"""),"")</f>
        <v/>
      </c>
    </row>
    <row r="550">
      <c r="X550" t="str">
        <f>IFERROR(__xludf.DUMMYFUNCTION("""COMPUTED_VALUE"""),"")</f>
        <v/>
      </c>
    </row>
    <row r="551">
      <c r="X551" t="str">
        <f>IFERROR(__xludf.DUMMYFUNCTION("""COMPUTED_VALUE"""),"")</f>
        <v/>
      </c>
    </row>
    <row r="552">
      <c r="X552" t="str">
        <f>IFERROR(__xludf.DUMMYFUNCTION("""COMPUTED_VALUE"""),"")</f>
        <v/>
      </c>
    </row>
    <row r="553">
      <c r="X553" t="str">
        <f>IFERROR(__xludf.DUMMYFUNCTION("""COMPUTED_VALUE"""),"")</f>
        <v/>
      </c>
    </row>
    <row r="554">
      <c r="X554" t="str">
        <f>IFERROR(__xludf.DUMMYFUNCTION("""COMPUTED_VALUE"""),"")</f>
        <v/>
      </c>
    </row>
    <row r="555">
      <c r="X555" t="str">
        <f>IFERROR(__xludf.DUMMYFUNCTION("""COMPUTED_VALUE"""),"")</f>
        <v/>
      </c>
    </row>
    <row r="556">
      <c r="X556" t="str">
        <f>IFERROR(__xludf.DUMMYFUNCTION("""COMPUTED_VALUE"""),"")</f>
        <v/>
      </c>
    </row>
    <row r="557">
      <c r="X557" t="str">
        <f>IFERROR(__xludf.DUMMYFUNCTION("""COMPUTED_VALUE"""),"")</f>
        <v/>
      </c>
    </row>
    <row r="558">
      <c r="X558" t="str">
        <f>IFERROR(__xludf.DUMMYFUNCTION("""COMPUTED_VALUE"""),"")</f>
        <v/>
      </c>
    </row>
    <row r="559">
      <c r="X559" t="str">
        <f>IFERROR(__xludf.DUMMYFUNCTION("""COMPUTED_VALUE"""),"")</f>
        <v/>
      </c>
    </row>
    <row r="560">
      <c r="X560" t="str">
        <f>IFERROR(__xludf.DUMMYFUNCTION("""COMPUTED_VALUE"""),"")</f>
        <v/>
      </c>
    </row>
    <row r="561">
      <c r="X561" t="str">
        <f>IFERROR(__xludf.DUMMYFUNCTION("""COMPUTED_VALUE"""),"")</f>
        <v/>
      </c>
    </row>
    <row r="562">
      <c r="X562" t="str">
        <f>IFERROR(__xludf.DUMMYFUNCTION("""COMPUTED_VALUE"""),"")</f>
        <v/>
      </c>
    </row>
    <row r="563">
      <c r="X563" t="str">
        <f>IFERROR(__xludf.DUMMYFUNCTION("""COMPUTED_VALUE"""),"")</f>
        <v/>
      </c>
    </row>
    <row r="564">
      <c r="X564" t="str">
        <f>IFERROR(__xludf.DUMMYFUNCTION("""COMPUTED_VALUE"""),"")</f>
        <v/>
      </c>
    </row>
    <row r="565">
      <c r="X565" t="str">
        <f>IFERROR(__xludf.DUMMYFUNCTION("""COMPUTED_VALUE"""),"")</f>
        <v/>
      </c>
    </row>
    <row r="566">
      <c r="X566" t="str">
        <f>IFERROR(__xludf.DUMMYFUNCTION("""COMPUTED_VALUE"""),"")</f>
        <v/>
      </c>
    </row>
    <row r="567">
      <c r="X567" t="str">
        <f>IFERROR(__xludf.DUMMYFUNCTION("""COMPUTED_VALUE"""),"")</f>
        <v/>
      </c>
    </row>
    <row r="568">
      <c r="X568" t="str">
        <f>IFERROR(__xludf.DUMMYFUNCTION("""COMPUTED_VALUE"""),"")</f>
        <v/>
      </c>
    </row>
    <row r="569">
      <c r="X569" t="str">
        <f>IFERROR(__xludf.DUMMYFUNCTION("""COMPUTED_VALUE"""),"")</f>
        <v/>
      </c>
    </row>
    <row r="570">
      <c r="X570" t="str">
        <f>IFERROR(__xludf.DUMMYFUNCTION("""COMPUTED_VALUE"""),"")</f>
        <v/>
      </c>
    </row>
    <row r="571">
      <c r="X571" t="str">
        <f>IFERROR(__xludf.DUMMYFUNCTION("""COMPUTED_VALUE"""),"")</f>
        <v/>
      </c>
    </row>
    <row r="572">
      <c r="X572" t="str">
        <f>IFERROR(__xludf.DUMMYFUNCTION("""COMPUTED_VALUE"""),"")</f>
        <v/>
      </c>
    </row>
    <row r="573">
      <c r="X573" t="str">
        <f>IFERROR(__xludf.DUMMYFUNCTION("""COMPUTED_VALUE"""),"")</f>
        <v/>
      </c>
    </row>
    <row r="574">
      <c r="X574" t="str">
        <f>IFERROR(__xludf.DUMMYFUNCTION("""COMPUTED_VALUE"""),"")</f>
        <v/>
      </c>
    </row>
    <row r="575">
      <c r="X575" t="str">
        <f>IFERROR(__xludf.DUMMYFUNCTION("""COMPUTED_VALUE"""),"")</f>
        <v/>
      </c>
    </row>
    <row r="576">
      <c r="X576" t="str">
        <f>IFERROR(__xludf.DUMMYFUNCTION("""COMPUTED_VALUE"""),"")</f>
        <v/>
      </c>
    </row>
    <row r="577">
      <c r="X577" t="str">
        <f>IFERROR(__xludf.DUMMYFUNCTION("""COMPUTED_VALUE"""),"")</f>
        <v/>
      </c>
    </row>
    <row r="578">
      <c r="X578" t="str">
        <f>IFERROR(__xludf.DUMMYFUNCTION("""COMPUTED_VALUE"""),"")</f>
        <v/>
      </c>
    </row>
    <row r="579">
      <c r="X579" t="str">
        <f>IFERROR(__xludf.DUMMYFUNCTION("""COMPUTED_VALUE"""),"")</f>
        <v/>
      </c>
    </row>
    <row r="580">
      <c r="X580" t="str">
        <f>IFERROR(__xludf.DUMMYFUNCTION("""COMPUTED_VALUE"""),"")</f>
        <v/>
      </c>
    </row>
    <row r="581">
      <c r="X581" t="str">
        <f>IFERROR(__xludf.DUMMYFUNCTION("""COMPUTED_VALUE"""),"")</f>
        <v/>
      </c>
    </row>
    <row r="582">
      <c r="X582" t="str">
        <f>IFERROR(__xludf.DUMMYFUNCTION("""COMPUTED_VALUE"""),"")</f>
        <v/>
      </c>
    </row>
    <row r="583">
      <c r="X583" t="str">
        <f>IFERROR(__xludf.DUMMYFUNCTION("""COMPUTED_VALUE"""),"")</f>
        <v/>
      </c>
    </row>
    <row r="584">
      <c r="X584" t="str">
        <f>IFERROR(__xludf.DUMMYFUNCTION("""COMPUTED_VALUE"""),"")</f>
        <v/>
      </c>
    </row>
    <row r="585">
      <c r="X585" t="str">
        <f>IFERROR(__xludf.DUMMYFUNCTION("""COMPUTED_VALUE"""),"")</f>
        <v/>
      </c>
    </row>
    <row r="586">
      <c r="X586" t="str">
        <f>IFERROR(__xludf.DUMMYFUNCTION("""COMPUTED_VALUE"""),"")</f>
        <v/>
      </c>
    </row>
    <row r="587">
      <c r="X587" t="str">
        <f>IFERROR(__xludf.DUMMYFUNCTION("""COMPUTED_VALUE"""),"")</f>
        <v/>
      </c>
    </row>
    <row r="588">
      <c r="X588" t="str">
        <f>IFERROR(__xludf.DUMMYFUNCTION("""COMPUTED_VALUE"""),"")</f>
        <v/>
      </c>
    </row>
    <row r="589">
      <c r="X589" t="str">
        <f>IFERROR(__xludf.DUMMYFUNCTION("""COMPUTED_VALUE"""),"")</f>
        <v/>
      </c>
    </row>
    <row r="590">
      <c r="X590" t="str">
        <f>IFERROR(__xludf.DUMMYFUNCTION("""COMPUTED_VALUE"""),"")</f>
        <v/>
      </c>
    </row>
    <row r="591">
      <c r="X591" t="str">
        <f>IFERROR(__xludf.DUMMYFUNCTION("""COMPUTED_VALUE"""),"")</f>
        <v/>
      </c>
    </row>
    <row r="592">
      <c r="X592" t="str">
        <f>IFERROR(__xludf.DUMMYFUNCTION("""COMPUTED_VALUE"""),"")</f>
        <v/>
      </c>
    </row>
    <row r="593">
      <c r="X593" t="str">
        <f>IFERROR(__xludf.DUMMYFUNCTION("""COMPUTED_VALUE"""),"")</f>
        <v/>
      </c>
    </row>
    <row r="594">
      <c r="X594" t="str">
        <f>IFERROR(__xludf.DUMMYFUNCTION("""COMPUTED_VALUE"""),"")</f>
        <v/>
      </c>
    </row>
    <row r="595">
      <c r="X595" t="str">
        <f>IFERROR(__xludf.DUMMYFUNCTION("""COMPUTED_VALUE"""),"")</f>
        <v/>
      </c>
    </row>
    <row r="596">
      <c r="X596" t="str">
        <f>IFERROR(__xludf.DUMMYFUNCTION("""COMPUTED_VALUE"""),"")</f>
        <v/>
      </c>
    </row>
    <row r="597">
      <c r="X597" t="str">
        <f>IFERROR(__xludf.DUMMYFUNCTION("""COMPUTED_VALUE"""),"")</f>
        <v/>
      </c>
    </row>
    <row r="598">
      <c r="X598" t="str">
        <f>IFERROR(__xludf.DUMMYFUNCTION("""COMPUTED_VALUE"""),"")</f>
        <v/>
      </c>
    </row>
    <row r="599">
      <c r="X599" t="str">
        <f>IFERROR(__xludf.DUMMYFUNCTION("""COMPUTED_VALUE"""),"")</f>
        <v/>
      </c>
    </row>
    <row r="600">
      <c r="X600" t="str">
        <f>IFERROR(__xludf.DUMMYFUNCTION("""COMPUTED_VALUE"""),"")</f>
        <v/>
      </c>
    </row>
    <row r="601">
      <c r="X601" t="str">
        <f>IFERROR(__xludf.DUMMYFUNCTION("""COMPUTED_VALUE"""),"")</f>
        <v/>
      </c>
    </row>
    <row r="602">
      <c r="X602" t="str">
        <f>IFERROR(__xludf.DUMMYFUNCTION("""COMPUTED_VALUE"""),"")</f>
        <v/>
      </c>
    </row>
    <row r="603">
      <c r="X603" t="str">
        <f>IFERROR(__xludf.DUMMYFUNCTION("""COMPUTED_VALUE"""),"")</f>
        <v/>
      </c>
    </row>
    <row r="604">
      <c r="X604" t="str">
        <f>IFERROR(__xludf.DUMMYFUNCTION("""COMPUTED_VALUE"""),"")</f>
        <v/>
      </c>
    </row>
    <row r="605">
      <c r="X605" t="str">
        <f>IFERROR(__xludf.DUMMYFUNCTION("""COMPUTED_VALUE"""),"")</f>
        <v/>
      </c>
    </row>
    <row r="606">
      <c r="X606" t="str">
        <f>IFERROR(__xludf.DUMMYFUNCTION("""COMPUTED_VALUE"""),"")</f>
        <v/>
      </c>
    </row>
    <row r="607">
      <c r="X607" t="str">
        <f>IFERROR(__xludf.DUMMYFUNCTION("""COMPUTED_VALUE"""),"")</f>
        <v/>
      </c>
    </row>
    <row r="608">
      <c r="X608" t="str">
        <f>IFERROR(__xludf.DUMMYFUNCTION("""COMPUTED_VALUE"""),"")</f>
        <v/>
      </c>
    </row>
    <row r="609">
      <c r="X609" t="str">
        <f>IFERROR(__xludf.DUMMYFUNCTION("""COMPUTED_VALUE"""),"")</f>
        <v/>
      </c>
    </row>
    <row r="610">
      <c r="X610" t="str">
        <f>IFERROR(__xludf.DUMMYFUNCTION("""COMPUTED_VALUE"""),"")</f>
        <v/>
      </c>
    </row>
    <row r="611">
      <c r="X611" t="str">
        <f>IFERROR(__xludf.DUMMYFUNCTION("""COMPUTED_VALUE"""),"")</f>
        <v/>
      </c>
    </row>
    <row r="612">
      <c r="X612" t="str">
        <f>IFERROR(__xludf.DUMMYFUNCTION("""COMPUTED_VALUE"""),"")</f>
        <v/>
      </c>
    </row>
    <row r="613">
      <c r="X613" t="str">
        <f>IFERROR(__xludf.DUMMYFUNCTION("""COMPUTED_VALUE"""),"")</f>
        <v/>
      </c>
    </row>
    <row r="614">
      <c r="X614" t="str">
        <f>IFERROR(__xludf.DUMMYFUNCTION("""COMPUTED_VALUE"""),"")</f>
        <v/>
      </c>
    </row>
    <row r="615">
      <c r="X615" t="str">
        <f>IFERROR(__xludf.DUMMYFUNCTION("""COMPUTED_VALUE"""),"")</f>
        <v/>
      </c>
    </row>
    <row r="616">
      <c r="X616" t="str">
        <f>IFERROR(__xludf.DUMMYFUNCTION("""COMPUTED_VALUE"""),"")</f>
        <v/>
      </c>
    </row>
    <row r="617">
      <c r="X617" t="str">
        <f>IFERROR(__xludf.DUMMYFUNCTION("""COMPUTED_VALUE"""),"")</f>
        <v/>
      </c>
    </row>
    <row r="618">
      <c r="X618" t="str">
        <f>IFERROR(__xludf.DUMMYFUNCTION("""COMPUTED_VALUE"""),"")</f>
        <v/>
      </c>
    </row>
    <row r="619">
      <c r="X619" t="str">
        <f>IFERROR(__xludf.DUMMYFUNCTION("""COMPUTED_VALUE"""),"")</f>
        <v/>
      </c>
    </row>
    <row r="620">
      <c r="X620" t="str">
        <f>IFERROR(__xludf.DUMMYFUNCTION("""COMPUTED_VALUE"""),"")</f>
        <v/>
      </c>
    </row>
    <row r="621">
      <c r="X621" t="str">
        <f>IFERROR(__xludf.DUMMYFUNCTION("""COMPUTED_VALUE"""),"")</f>
        <v/>
      </c>
    </row>
    <row r="622">
      <c r="X622" t="str">
        <f>IFERROR(__xludf.DUMMYFUNCTION("""COMPUTED_VALUE"""),"")</f>
        <v/>
      </c>
    </row>
    <row r="623">
      <c r="X623" t="str">
        <f>IFERROR(__xludf.DUMMYFUNCTION("""COMPUTED_VALUE"""),"")</f>
        <v/>
      </c>
    </row>
    <row r="624">
      <c r="X624" t="str">
        <f>IFERROR(__xludf.DUMMYFUNCTION("""COMPUTED_VALUE"""),"")</f>
        <v/>
      </c>
    </row>
    <row r="625">
      <c r="X625" t="str">
        <f>IFERROR(__xludf.DUMMYFUNCTION("""COMPUTED_VALUE"""),"")</f>
        <v/>
      </c>
    </row>
    <row r="626">
      <c r="X626" t="str">
        <f>IFERROR(__xludf.DUMMYFUNCTION("""COMPUTED_VALUE"""),"")</f>
        <v/>
      </c>
    </row>
    <row r="627">
      <c r="X627" t="str">
        <f>IFERROR(__xludf.DUMMYFUNCTION("""COMPUTED_VALUE"""),"")</f>
        <v/>
      </c>
    </row>
    <row r="628">
      <c r="X628" t="str">
        <f>IFERROR(__xludf.DUMMYFUNCTION("""COMPUTED_VALUE"""),"")</f>
        <v/>
      </c>
    </row>
    <row r="629">
      <c r="X629" t="str">
        <f>IFERROR(__xludf.DUMMYFUNCTION("""COMPUTED_VALUE"""),"")</f>
        <v/>
      </c>
    </row>
    <row r="630">
      <c r="X630" t="str">
        <f>IFERROR(__xludf.DUMMYFUNCTION("""COMPUTED_VALUE"""),"")</f>
        <v/>
      </c>
    </row>
    <row r="631">
      <c r="X631" t="str">
        <f>IFERROR(__xludf.DUMMYFUNCTION("""COMPUTED_VALUE"""),"")</f>
        <v/>
      </c>
    </row>
    <row r="632">
      <c r="X632" t="str">
        <f>IFERROR(__xludf.DUMMYFUNCTION("""COMPUTED_VALUE"""),"")</f>
        <v/>
      </c>
    </row>
    <row r="633">
      <c r="X633" t="str">
        <f>IFERROR(__xludf.DUMMYFUNCTION("""COMPUTED_VALUE"""),"")</f>
        <v/>
      </c>
    </row>
    <row r="634">
      <c r="X634" t="str">
        <f>IFERROR(__xludf.DUMMYFUNCTION("""COMPUTED_VALUE"""),"")</f>
        <v/>
      </c>
    </row>
    <row r="635">
      <c r="X635" t="str">
        <f>IFERROR(__xludf.DUMMYFUNCTION("""COMPUTED_VALUE"""),"")</f>
        <v/>
      </c>
    </row>
    <row r="636">
      <c r="X636" t="str">
        <f>IFERROR(__xludf.DUMMYFUNCTION("""COMPUTED_VALUE"""),"")</f>
        <v/>
      </c>
    </row>
    <row r="637">
      <c r="X637" t="str">
        <f>IFERROR(__xludf.DUMMYFUNCTION("""COMPUTED_VALUE"""),"")</f>
        <v/>
      </c>
    </row>
    <row r="638">
      <c r="X638" t="str">
        <f>IFERROR(__xludf.DUMMYFUNCTION("""COMPUTED_VALUE"""),"")</f>
        <v/>
      </c>
    </row>
    <row r="639">
      <c r="X639" t="str">
        <f>IFERROR(__xludf.DUMMYFUNCTION("""COMPUTED_VALUE"""),"")</f>
        <v/>
      </c>
    </row>
    <row r="640">
      <c r="X640" t="str">
        <f>IFERROR(__xludf.DUMMYFUNCTION("""COMPUTED_VALUE"""),"")</f>
        <v/>
      </c>
    </row>
    <row r="641">
      <c r="X641" t="str">
        <f>IFERROR(__xludf.DUMMYFUNCTION("""COMPUTED_VALUE"""),"")</f>
        <v/>
      </c>
    </row>
    <row r="642">
      <c r="X642" t="str">
        <f>IFERROR(__xludf.DUMMYFUNCTION("""COMPUTED_VALUE"""),"")</f>
        <v/>
      </c>
    </row>
    <row r="643">
      <c r="X643" t="str">
        <f>IFERROR(__xludf.DUMMYFUNCTION("""COMPUTED_VALUE"""),"")</f>
        <v/>
      </c>
    </row>
    <row r="644">
      <c r="X644" t="str">
        <f>IFERROR(__xludf.DUMMYFUNCTION("""COMPUTED_VALUE"""),"")</f>
        <v/>
      </c>
    </row>
    <row r="645">
      <c r="X645" t="str">
        <f>IFERROR(__xludf.DUMMYFUNCTION("""COMPUTED_VALUE"""),"")</f>
        <v/>
      </c>
    </row>
    <row r="646">
      <c r="X646" t="str">
        <f>IFERROR(__xludf.DUMMYFUNCTION("""COMPUTED_VALUE"""),"")</f>
        <v/>
      </c>
    </row>
    <row r="647">
      <c r="X647" t="str">
        <f>IFERROR(__xludf.DUMMYFUNCTION("""COMPUTED_VALUE"""),"")</f>
        <v/>
      </c>
    </row>
    <row r="648">
      <c r="X648" t="str">
        <f>IFERROR(__xludf.DUMMYFUNCTION("""COMPUTED_VALUE"""),"")</f>
        <v/>
      </c>
    </row>
    <row r="649">
      <c r="X649" t="str">
        <f>IFERROR(__xludf.DUMMYFUNCTION("""COMPUTED_VALUE"""),"")</f>
        <v/>
      </c>
    </row>
    <row r="650">
      <c r="X650" t="str">
        <f>IFERROR(__xludf.DUMMYFUNCTION("""COMPUTED_VALUE"""),"")</f>
        <v/>
      </c>
    </row>
    <row r="651">
      <c r="X651" t="str">
        <f>IFERROR(__xludf.DUMMYFUNCTION("""COMPUTED_VALUE"""),"")</f>
        <v/>
      </c>
    </row>
    <row r="652">
      <c r="X652" t="str">
        <f>IFERROR(__xludf.DUMMYFUNCTION("""COMPUTED_VALUE"""),"")</f>
        <v/>
      </c>
    </row>
    <row r="653">
      <c r="X653" t="str">
        <f>IFERROR(__xludf.DUMMYFUNCTION("""COMPUTED_VALUE"""),"")</f>
        <v/>
      </c>
    </row>
    <row r="654">
      <c r="X654" t="str">
        <f>IFERROR(__xludf.DUMMYFUNCTION("""COMPUTED_VALUE"""),"")</f>
        <v/>
      </c>
    </row>
    <row r="655">
      <c r="X655" t="str">
        <f>IFERROR(__xludf.DUMMYFUNCTION("""COMPUTED_VALUE"""),"")</f>
        <v/>
      </c>
    </row>
    <row r="656">
      <c r="X656" t="str">
        <f>IFERROR(__xludf.DUMMYFUNCTION("""COMPUTED_VALUE"""),"")</f>
        <v/>
      </c>
    </row>
    <row r="657">
      <c r="X657" t="str">
        <f>IFERROR(__xludf.DUMMYFUNCTION("""COMPUTED_VALUE"""),"")</f>
        <v/>
      </c>
    </row>
    <row r="658">
      <c r="X658" t="str">
        <f>IFERROR(__xludf.DUMMYFUNCTION("""COMPUTED_VALUE"""),"")</f>
        <v/>
      </c>
    </row>
    <row r="659">
      <c r="X659" t="str">
        <f>IFERROR(__xludf.DUMMYFUNCTION("""COMPUTED_VALUE"""),"")</f>
        <v/>
      </c>
    </row>
    <row r="660">
      <c r="X660" t="str">
        <f>IFERROR(__xludf.DUMMYFUNCTION("""COMPUTED_VALUE"""),"")</f>
        <v/>
      </c>
    </row>
    <row r="661">
      <c r="X661" t="str">
        <f>IFERROR(__xludf.DUMMYFUNCTION("""COMPUTED_VALUE"""),"")</f>
        <v/>
      </c>
    </row>
    <row r="662">
      <c r="X662" t="str">
        <f>IFERROR(__xludf.DUMMYFUNCTION("""COMPUTED_VALUE"""),"")</f>
        <v/>
      </c>
    </row>
    <row r="663">
      <c r="X663" t="str">
        <f>IFERROR(__xludf.DUMMYFUNCTION("""COMPUTED_VALUE"""),"")</f>
        <v/>
      </c>
    </row>
    <row r="664">
      <c r="X664" t="str">
        <f>IFERROR(__xludf.DUMMYFUNCTION("""COMPUTED_VALUE"""),"")</f>
        <v/>
      </c>
    </row>
    <row r="665">
      <c r="X665" t="str">
        <f>IFERROR(__xludf.DUMMYFUNCTION("""COMPUTED_VALUE"""),"")</f>
        <v/>
      </c>
    </row>
    <row r="666">
      <c r="X666" t="str">
        <f>IFERROR(__xludf.DUMMYFUNCTION("""COMPUTED_VALUE"""),"")</f>
        <v/>
      </c>
    </row>
    <row r="667">
      <c r="X667" t="str">
        <f>IFERROR(__xludf.DUMMYFUNCTION("""COMPUTED_VALUE"""),"")</f>
        <v/>
      </c>
    </row>
    <row r="668">
      <c r="X668" t="str">
        <f>IFERROR(__xludf.DUMMYFUNCTION("""COMPUTED_VALUE"""),"")</f>
        <v/>
      </c>
    </row>
    <row r="669">
      <c r="X669" t="str">
        <f>IFERROR(__xludf.DUMMYFUNCTION("""COMPUTED_VALUE"""),"")</f>
        <v/>
      </c>
    </row>
    <row r="670">
      <c r="X670" t="str">
        <f>IFERROR(__xludf.DUMMYFUNCTION("""COMPUTED_VALUE"""),"")</f>
        <v/>
      </c>
    </row>
    <row r="671">
      <c r="X671" t="str">
        <f>IFERROR(__xludf.DUMMYFUNCTION("""COMPUTED_VALUE"""),"")</f>
        <v/>
      </c>
    </row>
    <row r="672">
      <c r="X672" t="str">
        <f>IFERROR(__xludf.DUMMYFUNCTION("""COMPUTED_VALUE"""),"")</f>
        <v/>
      </c>
    </row>
    <row r="673">
      <c r="X673" t="str">
        <f>IFERROR(__xludf.DUMMYFUNCTION("""COMPUTED_VALUE"""),"")</f>
        <v/>
      </c>
    </row>
    <row r="674">
      <c r="X674" t="str">
        <f>IFERROR(__xludf.DUMMYFUNCTION("""COMPUTED_VALUE"""),"")</f>
        <v/>
      </c>
    </row>
    <row r="675">
      <c r="X675" t="str">
        <f>IFERROR(__xludf.DUMMYFUNCTION("""COMPUTED_VALUE"""),"")</f>
        <v/>
      </c>
    </row>
    <row r="676">
      <c r="X676" t="str">
        <f>IFERROR(__xludf.DUMMYFUNCTION("""COMPUTED_VALUE"""),"")</f>
        <v/>
      </c>
    </row>
    <row r="677">
      <c r="X677" t="str">
        <f>IFERROR(__xludf.DUMMYFUNCTION("""COMPUTED_VALUE"""),"")</f>
        <v/>
      </c>
    </row>
    <row r="678">
      <c r="X678" t="str">
        <f>IFERROR(__xludf.DUMMYFUNCTION("""COMPUTED_VALUE"""),"")</f>
        <v/>
      </c>
    </row>
    <row r="679">
      <c r="X679" t="str">
        <f>IFERROR(__xludf.DUMMYFUNCTION("""COMPUTED_VALUE"""),"")</f>
        <v/>
      </c>
    </row>
    <row r="680">
      <c r="X680" t="str">
        <f>IFERROR(__xludf.DUMMYFUNCTION("""COMPUTED_VALUE"""),"")</f>
        <v/>
      </c>
    </row>
    <row r="681">
      <c r="X681" t="str">
        <f>IFERROR(__xludf.DUMMYFUNCTION("""COMPUTED_VALUE"""),"")</f>
        <v/>
      </c>
    </row>
    <row r="682">
      <c r="X682" t="str">
        <f>IFERROR(__xludf.DUMMYFUNCTION("""COMPUTED_VALUE"""),"")</f>
        <v/>
      </c>
    </row>
    <row r="683">
      <c r="X683" t="str">
        <f>IFERROR(__xludf.DUMMYFUNCTION("""COMPUTED_VALUE"""),"")</f>
        <v/>
      </c>
    </row>
    <row r="684">
      <c r="X684" t="str">
        <f>IFERROR(__xludf.DUMMYFUNCTION("""COMPUTED_VALUE"""),"")</f>
        <v/>
      </c>
    </row>
    <row r="685">
      <c r="X685" t="str">
        <f>IFERROR(__xludf.DUMMYFUNCTION("""COMPUTED_VALUE"""),"")</f>
        <v/>
      </c>
    </row>
    <row r="686">
      <c r="X686" t="str">
        <f>IFERROR(__xludf.DUMMYFUNCTION("""COMPUTED_VALUE"""),"")</f>
        <v/>
      </c>
    </row>
    <row r="687">
      <c r="X687" t="str">
        <f>IFERROR(__xludf.DUMMYFUNCTION("""COMPUTED_VALUE"""),"")</f>
        <v/>
      </c>
    </row>
    <row r="688">
      <c r="X688" t="str">
        <f>IFERROR(__xludf.DUMMYFUNCTION("""COMPUTED_VALUE"""),"")</f>
        <v/>
      </c>
    </row>
    <row r="689">
      <c r="X689" t="str">
        <f>IFERROR(__xludf.DUMMYFUNCTION("""COMPUTED_VALUE"""),"")</f>
        <v/>
      </c>
    </row>
    <row r="690">
      <c r="X690" t="str">
        <f>IFERROR(__xludf.DUMMYFUNCTION("""COMPUTED_VALUE"""),"")</f>
        <v/>
      </c>
    </row>
    <row r="691">
      <c r="X691" t="str">
        <f>IFERROR(__xludf.DUMMYFUNCTION("""COMPUTED_VALUE"""),"")</f>
        <v/>
      </c>
    </row>
    <row r="692">
      <c r="X692" t="str">
        <f>IFERROR(__xludf.DUMMYFUNCTION("""COMPUTED_VALUE"""),"")</f>
        <v/>
      </c>
    </row>
    <row r="693">
      <c r="X693" t="str">
        <f>IFERROR(__xludf.DUMMYFUNCTION("""COMPUTED_VALUE"""),"")</f>
        <v/>
      </c>
    </row>
    <row r="694">
      <c r="X694" t="str">
        <f>IFERROR(__xludf.DUMMYFUNCTION("""COMPUTED_VALUE"""),"")</f>
        <v/>
      </c>
    </row>
    <row r="695">
      <c r="X695" t="str">
        <f>IFERROR(__xludf.DUMMYFUNCTION("""COMPUTED_VALUE"""),"")</f>
        <v/>
      </c>
    </row>
    <row r="696">
      <c r="X696" t="str">
        <f>IFERROR(__xludf.DUMMYFUNCTION("""COMPUTED_VALUE"""),"")</f>
        <v/>
      </c>
    </row>
    <row r="697">
      <c r="X697" t="str">
        <f>IFERROR(__xludf.DUMMYFUNCTION("""COMPUTED_VALUE"""),"")</f>
        <v/>
      </c>
    </row>
    <row r="698">
      <c r="X698" t="str">
        <f>IFERROR(__xludf.DUMMYFUNCTION("""COMPUTED_VALUE"""),"")</f>
        <v/>
      </c>
    </row>
    <row r="699">
      <c r="X699" t="str">
        <f>IFERROR(__xludf.DUMMYFUNCTION("""COMPUTED_VALUE"""),"")</f>
        <v/>
      </c>
    </row>
    <row r="700">
      <c r="X700" t="str">
        <f>IFERROR(__xludf.DUMMYFUNCTION("""COMPUTED_VALUE"""),"")</f>
        <v/>
      </c>
    </row>
    <row r="701">
      <c r="X701" t="str">
        <f>IFERROR(__xludf.DUMMYFUNCTION("""COMPUTED_VALUE"""),"")</f>
        <v/>
      </c>
    </row>
    <row r="702">
      <c r="X702" t="str">
        <f>IFERROR(__xludf.DUMMYFUNCTION("""COMPUTED_VALUE"""),"")</f>
        <v/>
      </c>
    </row>
    <row r="703">
      <c r="X703" t="str">
        <f>IFERROR(__xludf.DUMMYFUNCTION("""COMPUTED_VALUE"""),"")</f>
        <v/>
      </c>
    </row>
    <row r="704">
      <c r="X704" t="str">
        <f>IFERROR(__xludf.DUMMYFUNCTION("""COMPUTED_VALUE"""),"")</f>
        <v/>
      </c>
    </row>
    <row r="705">
      <c r="X705" t="str">
        <f>IFERROR(__xludf.DUMMYFUNCTION("""COMPUTED_VALUE"""),"")</f>
        <v/>
      </c>
    </row>
    <row r="706">
      <c r="X706" t="str">
        <f>IFERROR(__xludf.DUMMYFUNCTION("""COMPUTED_VALUE"""),"")</f>
        <v/>
      </c>
    </row>
    <row r="707">
      <c r="X707" t="str">
        <f>IFERROR(__xludf.DUMMYFUNCTION("""COMPUTED_VALUE"""),"")</f>
        <v/>
      </c>
    </row>
    <row r="708">
      <c r="X708" t="str">
        <f>IFERROR(__xludf.DUMMYFUNCTION("""COMPUTED_VALUE"""),"")</f>
        <v/>
      </c>
    </row>
    <row r="709">
      <c r="X709" t="str">
        <f>IFERROR(__xludf.DUMMYFUNCTION("""COMPUTED_VALUE"""),"")</f>
        <v/>
      </c>
    </row>
    <row r="710">
      <c r="X710" t="str">
        <f>IFERROR(__xludf.DUMMYFUNCTION("""COMPUTED_VALUE"""),"")</f>
        <v/>
      </c>
    </row>
    <row r="711">
      <c r="X711" t="str">
        <f>IFERROR(__xludf.DUMMYFUNCTION("""COMPUTED_VALUE"""),"")</f>
        <v/>
      </c>
    </row>
    <row r="712">
      <c r="X712" t="str">
        <f>IFERROR(__xludf.DUMMYFUNCTION("""COMPUTED_VALUE"""),"")</f>
        <v/>
      </c>
    </row>
    <row r="713">
      <c r="X713" t="str">
        <f>IFERROR(__xludf.DUMMYFUNCTION("""COMPUTED_VALUE"""),"")</f>
        <v/>
      </c>
    </row>
    <row r="714">
      <c r="X714" t="str">
        <f>IFERROR(__xludf.DUMMYFUNCTION("""COMPUTED_VALUE"""),"")</f>
        <v/>
      </c>
    </row>
    <row r="715">
      <c r="X715" t="str">
        <f>IFERROR(__xludf.DUMMYFUNCTION("""COMPUTED_VALUE"""),"")</f>
        <v/>
      </c>
    </row>
    <row r="716">
      <c r="X716" t="str">
        <f>IFERROR(__xludf.DUMMYFUNCTION("""COMPUTED_VALUE"""),"")</f>
        <v/>
      </c>
    </row>
    <row r="717">
      <c r="X717" t="str">
        <f>IFERROR(__xludf.DUMMYFUNCTION("""COMPUTED_VALUE"""),"")</f>
        <v/>
      </c>
    </row>
    <row r="718">
      <c r="X718" t="str">
        <f>IFERROR(__xludf.DUMMYFUNCTION("""COMPUTED_VALUE"""),"")</f>
        <v/>
      </c>
    </row>
    <row r="719">
      <c r="X719" t="str">
        <f>IFERROR(__xludf.DUMMYFUNCTION("""COMPUTED_VALUE"""),"")</f>
        <v/>
      </c>
    </row>
    <row r="720">
      <c r="X720" t="str">
        <f>IFERROR(__xludf.DUMMYFUNCTION("""COMPUTED_VALUE"""),"")</f>
        <v/>
      </c>
    </row>
    <row r="721">
      <c r="X721" t="str">
        <f>IFERROR(__xludf.DUMMYFUNCTION("""COMPUTED_VALUE"""),"")</f>
        <v/>
      </c>
    </row>
    <row r="722">
      <c r="X722" t="str">
        <f>IFERROR(__xludf.DUMMYFUNCTION("""COMPUTED_VALUE"""),"")</f>
        <v/>
      </c>
    </row>
    <row r="723">
      <c r="X723" t="str">
        <f>IFERROR(__xludf.DUMMYFUNCTION("""COMPUTED_VALUE"""),"")</f>
        <v/>
      </c>
    </row>
    <row r="724">
      <c r="X724" t="str">
        <f>IFERROR(__xludf.DUMMYFUNCTION("""COMPUTED_VALUE"""),"")</f>
        <v/>
      </c>
    </row>
    <row r="725">
      <c r="X725" t="str">
        <f>IFERROR(__xludf.DUMMYFUNCTION("""COMPUTED_VALUE"""),"")</f>
        <v/>
      </c>
    </row>
    <row r="726">
      <c r="X726" t="str">
        <f>IFERROR(__xludf.DUMMYFUNCTION("""COMPUTED_VALUE"""),"")</f>
        <v/>
      </c>
    </row>
    <row r="727">
      <c r="X727" t="str">
        <f>IFERROR(__xludf.DUMMYFUNCTION("""COMPUTED_VALUE"""),"")</f>
        <v/>
      </c>
    </row>
    <row r="728">
      <c r="X728" t="str">
        <f>IFERROR(__xludf.DUMMYFUNCTION("""COMPUTED_VALUE"""),"")</f>
        <v/>
      </c>
    </row>
    <row r="729">
      <c r="X729" t="str">
        <f>IFERROR(__xludf.DUMMYFUNCTION("""COMPUTED_VALUE"""),"")</f>
        <v/>
      </c>
    </row>
    <row r="730">
      <c r="X730" t="str">
        <f>IFERROR(__xludf.DUMMYFUNCTION("""COMPUTED_VALUE"""),"")</f>
        <v/>
      </c>
    </row>
    <row r="731">
      <c r="X731" t="str">
        <f>IFERROR(__xludf.DUMMYFUNCTION("""COMPUTED_VALUE"""),"")</f>
        <v/>
      </c>
    </row>
    <row r="732">
      <c r="X732" t="str">
        <f>IFERROR(__xludf.DUMMYFUNCTION("""COMPUTED_VALUE"""),"")</f>
        <v/>
      </c>
    </row>
    <row r="733">
      <c r="X733" t="str">
        <f>IFERROR(__xludf.DUMMYFUNCTION("""COMPUTED_VALUE"""),"")</f>
        <v/>
      </c>
    </row>
    <row r="734">
      <c r="X734" t="str">
        <f>IFERROR(__xludf.DUMMYFUNCTION("""COMPUTED_VALUE"""),"")</f>
        <v/>
      </c>
    </row>
    <row r="735">
      <c r="X735" t="str">
        <f>IFERROR(__xludf.DUMMYFUNCTION("""COMPUTED_VALUE"""),"")</f>
        <v/>
      </c>
    </row>
    <row r="736">
      <c r="X736" t="str">
        <f>IFERROR(__xludf.DUMMYFUNCTION("""COMPUTED_VALUE"""),"")</f>
        <v/>
      </c>
    </row>
    <row r="737">
      <c r="X737" t="str">
        <f>IFERROR(__xludf.DUMMYFUNCTION("""COMPUTED_VALUE"""),"")</f>
        <v/>
      </c>
    </row>
    <row r="738">
      <c r="X738" t="str">
        <f>IFERROR(__xludf.DUMMYFUNCTION("""COMPUTED_VALUE"""),"")</f>
        <v/>
      </c>
    </row>
    <row r="739">
      <c r="X739" t="str">
        <f>IFERROR(__xludf.DUMMYFUNCTION("""COMPUTED_VALUE"""),"")</f>
        <v/>
      </c>
    </row>
    <row r="740">
      <c r="X740" t="str">
        <f>IFERROR(__xludf.DUMMYFUNCTION("""COMPUTED_VALUE"""),"")</f>
        <v/>
      </c>
    </row>
    <row r="741">
      <c r="X741" t="str">
        <f>IFERROR(__xludf.DUMMYFUNCTION("""COMPUTED_VALUE"""),"")</f>
        <v/>
      </c>
    </row>
    <row r="742">
      <c r="X742" t="str">
        <f>IFERROR(__xludf.DUMMYFUNCTION("""COMPUTED_VALUE"""),"")</f>
        <v/>
      </c>
    </row>
    <row r="743">
      <c r="X743" t="str">
        <f>IFERROR(__xludf.DUMMYFUNCTION("""COMPUTED_VALUE"""),"")</f>
        <v/>
      </c>
    </row>
    <row r="744">
      <c r="X744" t="str">
        <f>IFERROR(__xludf.DUMMYFUNCTION("""COMPUTED_VALUE"""),"")</f>
        <v/>
      </c>
    </row>
    <row r="745">
      <c r="X745" t="str">
        <f>IFERROR(__xludf.DUMMYFUNCTION("""COMPUTED_VALUE"""),"")</f>
        <v/>
      </c>
    </row>
    <row r="746">
      <c r="X746" t="str">
        <f>IFERROR(__xludf.DUMMYFUNCTION("""COMPUTED_VALUE"""),"")</f>
        <v/>
      </c>
    </row>
    <row r="747">
      <c r="X747" t="str">
        <f>IFERROR(__xludf.DUMMYFUNCTION("""COMPUTED_VALUE"""),"")</f>
        <v/>
      </c>
    </row>
    <row r="748">
      <c r="X748" t="str">
        <f>IFERROR(__xludf.DUMMYFUNCTION("""COMPUTED_VALUE"""),"")</f>
        <v/>
      </c>
    </row>
    <row r="749">
      <c r="X749" t="str">
        <f>IFERROR(__xludf.DUMMYFUNCTION("""COMPUTED_VALUE"""),"")</f>
        <v/>
      </c>
    </row>
    <row r="750">
      <c r="X750" t="str">
        <f>IFERROR(__xludf.DUMMYFUNCTION("""COMPUTED_VALUE"""),"")</f>
        <v/>
      </c>
    </row>
    <row r="751">
      <c r="X751" t="str">
        <f>IFERROR(__xludf.DUMMYFUNCTION("""COMPUTED_VALUE"""),"")</f>
        <v/>
      </c>
    </row>
    <row r="752">
      <c r="X752" t="str">
        <f>IFERROR(__xludf.DUMMYFUNCTION("""COMPUTED_VALUE"""),"")</f>
        <v/>
      </c>
    </row>
    <row r="753">
      <c r="X753" t="str">
        <f>IFERROR(__xludf.DUMMYFUNCTION("""COMPUTED_VALUE"""),"")</f>
        <v/>
      </c>
    </row>
    <row r="754">
      <c r="X754" t="str">
        <f>IFERROR(__xludf.DUMMYFUNCTION("""COMPUTED_VALUE"""),"")</f>
        <v/>
      </c>
    </row>
    <row r="755">
      <c r="X755" t="str">
        <f>IFERROR(__xludf.DUMMYFUNCTION("""COMPUTED_VALUE"""),"")</f>
        <v/>
      </c>
    </row>
    <row r="756">
      <c r="X756" t="str">
        <f>IFERROR(__xludf.DUMMYFUNCTION("""COMPUTED_VALUE"""),"")</f>
        <v/>
      </c>
    </row>
    <row r="757">
      <c r="X757" t="str">
        <f>IFERROR(__xludf.DUMMYFUNCTION("""COMPUTED_VALUE"""),"")</f>
        <v/>
      </c>
    </row>
    <row r="758">
      <c r="X758" t="str">
        <f>IFERROR(__xludf.DUMMYFUNCTION("""COMPUTED_VALUE"""),"")</f>
        <v/>
      </c>
    </row>
    <row r="759">
      <c r="X759" t="str">
        <f>IFERROR(__xludf.DUMMYFUNCTION("""COMPUTED_VALUE"""),"")</f>
        <v/>
      </c>
    </row>
    <row r="760">
      <c r="X760" t="str">
        <f>IFERROR(__xludf.DUMMYFUNCTION("""COMPUTED_VALUE"""),"")</f>
        <v/>
      </c>
    </row>
    <row r="761">
      <c r="X761" t="str">
        <f>IFERROR(__xludf.DUMMYFUNCTION("""COMPUTED_VALUE"""),"")</f>
        <v/>
      </c>
    </row>
    <row r="762">
      <c r="X762" t="str">
        <f>IFERROR(__xludf.DUMMYFUNCTION("""COMPUTED_VALUE"""),"")</f>
        <v/>
      </c>
    </row>
    <row r="763">
      <c r="X763" t="str">
        <f>IFERROR(__xludf.DUMMYFUNCTION("""COMPUTED_VALUE"""),"")</f>
        <v/>
      </c>
    </row>
    <row r="764">
      <c r="X764" t="str">
        <f>IFERROR(__xludf.DUMMYFUNCTION("""COMPUTED_VALUE"""),"")</f>
        <v/>
      </c>
    </row>
    <row r="765">
      <c r="X765" t="str">
        <f>IFERROR(__xludf.DUMMYFUNCTION("""COMPUTED_VALUE"""),"")</f>
        <v/>
      </c>
    </row>
    <row r="766">
      <c r="X766" t="str">
        <f>IFERROR(__xludf.DUMMYFUNCTION("""COMPUTED_VALUE"""),"")</f>
        <v/>
      </c>
    </row>
    <row r="767">
      <c r="X767" t="str">
        <f>IFERROR(__xludf.DUMMYFUNCTION("""COMPUTED_VALUE"""),"")</f>
        <v/>
      </c>
    </row>
    <row r="768">
      <c r="X768" t="str">
        <f>IFERROR(__xludf.DUMMYFUNCTION("""COMPUTED_VALUE"""),"")</f>
        <v/>
      </c>
    </row>
    <row r="769">
      <c r="X769" t="str">
        <f>IFERROR(__xludf.DUMMYFUNCTION("""COMPUTED_VALUE"""),"")</f>
        <v/>
      </c>
    </row>
    <row r="770">
      <c r="X770" t="str">
        <f>IFERROR(__xludf.DUMMYFUNCTION("""COMPUTED_VALUE"""),"")</f>
        <v/>
      </c>
    </row>
    <row r="771">
      <c r="X771" t="str">
        <f>IFERROR(__xludf.DUMMYFUNCTION("""COMPUTED_VALUE"""),"")</f>
        <v/>
      </c>
    </row>
    <row r="772">
      <c r="X772" t="str">
        <f>IFERROR(__xludf.DUMMYFUNCTION("""COMPUTED_VALUE"""),"")</f>
        <v/>
      </c>
    </row>
    <row r="773">
      <c r="X773" t="str">
        <f>IFERROR(__xludf.DUMMYFUNCTION("""COMPUTED_VALUE"""),"")</f>
        <v/>
      </c>
    </row>
    <row r="774">
      <c r="X774" t="str">
        <f>IFERROR(__xludf.DUMMYFUNCTION("""COMPUTED_VALUE"""),"")</f>
        <v/>
      </c>
    </row>
    <row r="775">
      <c r="X775" t="str">
        <f>IFERROR(__xludf.DUMMYFUNCTION("""COMPUTED_VALUE"""),"")</f>
        <v/>
      </c>
    </row>
    <row r="776">
      <c r="X776" t="str">
        <f>IFERROR(__xludf.DUMMYFUNCTION("""COMPUTED_VALUE"""),"")</f>
        <v/>
      </c>
    </row>
    <row r="777">
      <c r="X777" t="str">
        <f>IFERROR(__xludf.DUMMYFUNCTION("""COMPUTED_VALUE"""),"")</f>
        <v/>
      </c>
    </row>
    <row r="778">
      <c r="X778" t="str">
        <f>IFERROR(__xludf.DUMMYFUNCTION("""COMPUTED_VALUE"""),"")</f>
        <v/>
      </c>
    </row>
    <row r="779">
      <c r="X779" t="str">
        <f>IFERROR(__xludf.DUMMYFUNCTION("""COMPUTED_VALUE"""),"")</f>
        <v/>
      </c>
    </row>
    <row r="780">
      <c r="X780" t="str">
        <f>IFERROR(__xludf.DUMMYFUNCTION("""COMPUTED_VALUE"""),"")</f>
        <v/>
      </c>
    </row>
    <row r="781">
      <c r="X781" t="str">
        <f>IFERROR(__xludf.DUMMYFUNCTION("""COMPUTED_VALUE"""),"")</f>
        <v/>
      </c>
    </row>
    <row r="782">
      <c r="X782" t="str">
        <f>IFERROR(__xludf.DUMMYFUNCTION("""COMPUTED_VALUE"""),"")</f>
        <v/>
      </c>
    </row>
    <row r="783">
      <c r="X783" t="str">
        <f>IFERROR(__xludf.DUMMYFUNCTION("""COMPUTED_VALUE"""),"")</f>
        <v/>
      </c>
    </row>
    <row r="784">
      <c r="X784" t="str">
        <f>IFERROR(__xludf.DUMMYFUNCTION("""COMPUTED_VALUE"""),"")</f>
        <v/>
      </c>
    </row>
    <row r="785">
      <c r="X785" t="str">
        <f>IFERROR(__xludf.DUMMYFUNCTION("""COMPUTED_VALUE"""),"")</f>
        <v/>
      </c>
    </row>
    <row r="786">
      <c r="X786" t="str">
        <f>IFERROR(__xludf.DUMMYFUNCTION("""COMPUTED_VALUE"""),"")</f>
        <v/>
      </c>
    </row>
    <row r="787">
      <c r="X787" t="str">
        <f>IFERROR(__xludf.DUMMYFUNCTION("""COMPUTED_VALUE"""),"")</f>
        <v/>
      </c>
    </row>
    <row r="788">
      <c r="X788" t="str">
        <f>IFERROR(__xludf.DUMMYFUNCTION("""COMPUTED_VALUE"""),"")</f>
        <v/>
      </c>
    </row>
    <row r="789">
      <c r="X789" t="str">
        <f>IFERROR(__xludf.DUMMYFUNCTION("""COMPUTED_VALUE"""),"")</f>
        <v/>
      </c>
    </row>
    <row r="790">
      <c r="X790" t="str">
        <f>IFERROR(__xludf.DUMMYFUNCTION("""COMPUTED_VALUE"""),"")</f>
        <v/>
      </c>
    </row>
    <row r="791">
      <c r="X791" t="str">
        <f>IFERROR(__xludf.DUMMYFUNCTION("""COMPUTED_VALUE"""),"")</f>
        <v/>
      </c>
    </row>
    <row r="792">
      <c r="X792" t="str">
        <f>IFERROR(__xludf.DUMMYFUNCTION("""COMPUTED_VALUE"""),"")</f>
        <v/>
      </c>
    </row>
    <row r="793">
      <c r="X793" t="str">
        <f>IFERROR(__xludf.DUMMYFUNCTION("""COMPUTED_VALUE"""),"")</f>
        <v/>
      </c>
    </row>
    <row r="794">
      <c r="X794" t="str">
        <f>IFERROR(__xludf.DUMMYFUNCTION("""COMPUTED_VALUE"""),"")</f>
        <v/>
      </c>
    </row>
    <row r="795">
      <c r="X795" t="str">
        <f>IFERROR(__xludf.DUMMYFUNCTION("""COMPUTED_VALUE"""),"")</f>
        <v/>
      </c>
    </row>
    <row r="796">
      <c r="X796" t="str">
        <f>IFERROR(__xludf.DUMMYFUNCTION("""COMPUTED_VALUE"""),"")</f>
        <v/>
      </c>
    </row>
    <row r="797">
      <c r="X797" t="str">
        <f>IFERROR(__xludf.DUMMYFUNCTION("""COMPUTED_VALUE"""),"")</f>
        <v/>
      </c>
    </row>
    <row r="798">
      <c r="X798" t="str">
        <f>IFERROR(__xludf.DUMMYFUNCTION("""COMPUTED_VALUE"""),"")</f>
        <v/>
      </c>
    </row>
    <row r="799">
      <c r="X799" t="str">
        <f>IFERROR(__xludf.DUMMYFUNCTION("""COMPUTED_VALUE"""),"")</f>
        <v/>
      </c>
    </row>
    <row r="800">
      <c r="X800" t="str">
        <f>IFERROR(__xludf.DUMMYFUNCTION("""COMPUTED_VALUE"""),"")</f>
        <v/>
      </c>
    </row>
    <row r="801">
      <c r="X801" t="str">
        <f>IFERROR(__xludf.DUMMYFUNCTION("""COMPUTED_VALUE"""),"")</f>
        <v/>
      </c>
    </row>
    <row r="802">
      <c r="X802" t="str">
        <f>IFERROR(__xludf.DUMMYFUNCTION("""COMPUTED_VALUE"""),"")</f>
        <v/>
      </c>
    </row>
    <row r="803">
      <c r="X803" t="str">
        <f>IFERROR(__xludf.DUMMYFUNCTION("""COMPUTED_VALUE"""),"")</f>
        <v/>
      </c>
    </row>
    <row r="804">
      <c r="X804" t="str">
        <f>IFERROR(__xludf.DUMMYFUNCTION("""COMPUTED_VALUE"""),"")</f>
        <v/>
      </c>
    </row>
    <row r="805">
      <c r="X805" t="str">
        <f>IFERROR(__xludf.DUMMYFUNCTION("""COMPUTED_VALUE"""),"")</f>
        <v/>
      </c>
    </row>
    <row r="806">
      <c r="X806" t="str">
        <f>IFERROR(__xludf.DUMMYFUNCTION("""COMPUTED_VALUE"""),"")</f>
        <v/>
      </c>
    </row>
    <row r="807">
      <c r="X807" t="str">
        <f>IFERROR(__xludf.DUMMYFUNCTION("""COMPUTED_VALUE"""),"")</f>
        <v/>
      </c>
    </row>
    <row r="808">
      <c r="X808" t="str">
        <f>IFERROR(__xludf.DUMMYFUNCTION("""COMPUTED_VALUE"""),"")</f>
        <v/>
      </c>
    </row>
    <row r="809">
      <c r="X809" t="str">
        <f>IFERROR(__xludf.DUMMYFUNCTION("""COMPUTED_VALUE"""),"")</f>
        <v/>
      </c>
    </row>
    <row r="810">
      <c r="X810" t="str">
        <f>IFERROR(__xludf.DUMMYFUNCTION("""COMPUTED_VALUE"""),"")</f>
        <v/>
      </c>
    </row>
    <row r="811">
      <c r="X811" t="str">
        <f>IFERROR(__xludf.DUMMYFUNCTION("""COMPUTED_VALUE"""),"")</f>
        <v/>
      </c>
    </row>
    <row r="812">
      <c r="X812" t="str">
        <f>IFERROR(__xludf.DUMMYFUNCTION("""COMPUTED_VALUE"""),"")</f>
        <v/>
      </c>
    </row>
    <row r="813">
      <c r="X813" t="str">
        <f>IFERROR(__xludf.DUMMYFUNCTION("""COMPUTED_VALUE"""),"")</f>
        <v/>
      </c>
    </row>
    <row r="814">
      <c r="X814" t="str">
        <f>IFERROR(__xludf.DUMMYFUNCTION("""COMPUTED_VALUE"""),"")</f>
        <v/>
      </c>
    </row>
    <row r="815">
      <c r="X815" t="str">
        <f>IFERROR(__xludf.DUMMYFUNCTION("""COMPUTED_VALUE"""),"")</f>
        <v/>
      </c>
    </row>
    <row r="816">
      <c r="X816" t="str">
        <f>IFERROR(__xludf.DUMMYFUNCTION("""COMPUTED_VALUE"""),"")</f>
        <v/>
      </c>
    </row>
    <row r="817">
      <c r="X817" t="str">
        <f>IFERROR(__xludf.DUMMYFUNCTION("""COMPUTED_VALUE"""),"")</f>
        <v/>
      </c>
    </row>
    <row r="818">
      <c r="X818" t="str">
        <f>IFERROR(__xludf.DUMMYFUNCTION("""COMPUTED_VALUE"""),"")</f>
        <v/>
      </c>
    </row>
    <row r="819">
      <c r="X819" t="str">
        <f>IFERROR(__xludf.DUMMYFUNCTION("""COMPUTED_VALUE"""),"")</f>
        <v/>
      </c>
    </row>
    <row r="820">
      <c r="X820" t="str">
        <f>IFERROR(__xludf.DUMMYFUNCTION("""COMPUTED_VALUE"""),"")</f>
        <v/>
      </c>
    </row>
    <row r="821">
      <c r="X821" t="str">
        <f>IFERROR(__xludf.DUMMYFUNCTION("""COMPUTED_VALUE"""),"")</f>
        <v/>
      </c>
    </row>
    <row r="822">
      <c r="X822" t="str">
        <f>IFERROR(__xludf.DUMMYFUNCTION("""COMPUTED_VALUE"""),"")</f>
        <v/>
      </c>
    </row>
    <row r="823">
      <c r="X823" t="str">
        <f>IFERROR(__xludf.DUMMYFUNCTION("""COMPUTED_VALUE"""),"")</f>
        <v/>
      </c>
    </row>
    <row r="824">
      <c r="X824" t="str">
        <f>IFERROR(__xludf.DUMMYFUNCTION("""COMPUTED_VALUE"""),"")</f>
        <v/>
      </c>
    </row>
    <row r="825">
      <c r="X825" t="str">
        <f>IFERROR(__xludf.DUMMYFUNCTION("""COMPUTED_VALUE"""),"")</f>
        <v/>
      </c>
    </row>
    <row r="826">
      <c r="X826" t="str">
        <f>IFERROR(__xludf.DUMMYFUNCTION("""COMPUTED_VALUE"""),"")</f>
        <v/>
      </c>
    </row>
    <row r="827">
      <c r="X827" t="str">
        <f>IFERROR(__xludf.DUMMYFUNCTION("""COMPUTED_VALUE"""),"")</f>
        <v/>
      </c>
    </row>
    <row r="828">
      <c r="X828" t="str">
        <f>IFERROR(__xludf.DUMMYFUNCTION("""COMPUTED_VALUE"""),"")</f>
        <v/>
      </c>
    </row>
    <row r="829">
      <c r="X829" t="str">
        <f>IFERROR(__xludf.DUMMYFUNCTION("""COMPUTED_VALUE"""),"")</f>
        <v/>
      </c>
    </row>
    <row r="830">
      <c r="X830" t="str">
        <f>IFERROR(__xludf.DUMMYFUNCTION("""COMPUTED_VALUE"""),"")</f>
        <v/>
      </c>
    </row>
    <row r="831">
      <c r="X831" t="str">
        <f>IFERROR(__xludf.DUMMYFUNCTION("""COMPUTED_VALUE"""),"")</f>
        <v/>
      </c>
    </row>
    <row r="832">
      <c r="X832" t="str">
        <f>IFERROR(__xludf.DUMMYFUNCTION("""COMPUTED_VALUE"""),"")</f>
        <v/>
      </c>
    </row>
    <row r="833">
      <c r="X833" t="str">
        <f>IFERROR(__xludf.DUMMYFUNCTION("""COMPUTED_VALUE"""),"")</f>
        <v/>
      </c>
    </row>
    <row r="834">
      <c r="X834" t="str">
        <f>IFERROR(__xludf.DUMMYFUNCTION("""COMPUTED_VALUE"""),"")</f>
        <v/>
      </c>
    </row>
    <row r="835">
      <c r="X835" t="str">
        <f>IFERROR(__xludf.DUMMYFUNCTION("""COMPUTED_VALUE"""),"")</f>
        <v/>
      </c>
    </row>
    <row r="836">
      <c r="X836" t="str">
        <f>IFERROR(__xludf.DUMMYFUNCTION("""COMPUTED_VALUE"""),"")</f>
        <v/>
      </c>
    </row>
    <row r="837">
      <c r="X837" t="str">
        <f>IFERROR(__xludf.DUMMYFUNCTION("""COMPUTED_VALUE"""),"")</f>
        <v/>
      </c>
    </row>
    <row r="838">
      <c r="X838" t="str">
        <f>IFERROR(__xludf.DUMMYFUNCTION("""COMPUTED_VALUE"""),"")</f>
        <v/>
      </c>
    </row>
    <row r="839">
      <c r="X839" t="str">
        <f>IFERROR(__xludf.DUMMYFUNCTION("""COMPUTED_VALUE"""),"")</f>
        <v/>
      </c>
    </row>
    <row r="840">
      <c r="X840" t="str">
        <f>IFERROR(__xludf.DUMMYFUNCTION("""COMPUTED_VALUE"""),"")</f>
        <v/>
      </c>
    </row>
    <row r="841">
      <c r="X841" t="str">
        <f>IFERROR(__xludf.DUMMYFUNCTION("""COMPUTED_VALUE"""),"")</f>
        <v/>
      </c>
    </row>
    <row r="842">
      <c r="X842" t="str">
        <f>IFERROR(__xludf.DUMMYFUNCTION("""COMPUTED_VALUE"""),"")</f>
        <v/>
      </c>
    </row>
    <row r="843">
      <c r="X843" t="str">
        <f>IFERROR(__xludf.DUMMYFUNCTION("""COMPUTED_VALUE"""),"")</f>
        <v/>
      </c>
    </row>
    <row r="844">
      <c r="X844" t="str">
        <f>IFERROR(__xludf.DUMMYFUNCTION("""COMPUTED_VALUE"""),"")</f>
        <v/>
      </c>
    </row>
    <row r="845">
      <c r="X845" t="str">
        <f>IFERROR(__xludf.DUMMYFUNCTION("""COMPUTED_VALUE"""),"")</f>
        <v/>
      </c>
    </row>
    <row r="846">
      <c r="X846" t="str">
        <f>IFERROR(__xludf.DUMMYFUNCTION("""COMPUTED_VALUE"""),"")</f>
        <v/>
      </c>
    </row>
    <row r="847">
      <c r="X847" t="str">
        <f>IFERROR(__xludf.DUMMYFUNCTION("""COMPUTED_VALUE"""),"")</f>
        <v/>
      </c>
    </row>
    <row r="848">
      <c r="X848" t="str">
        <f>IFERROR(__xludf.DUMMYFUNCTION("""COMPUTED_VALUE"""),"")</f>
        <v/>
      </c>
    </row>
    <row r="849">
      <c r="X849" t="str">
        <f>IFERROR(__xludf.DUMMYFUNCTION("""COMPUTED_VALUE"""),"")</f>
        <v/>
      </c>
    </row>
    <row r="850">
      <c r="X850" t="str">
        <f>IFERROR(__xludf.DUMMYFUNCTION("""COMPUTED_VALUE"""),"")</f>
        <v/>
      </c>
    </row>
    <row r="851">
      <c r="X851" t="str">
        <f>IFERROR(__xludf.DUMMYFUNCTION("""COMPUTED_VALUE"""),"")</f>
        <v/>
      </c>
    </row>
    <row r="852">
      <c r="X852" t="str">
        <f>IFERROR(__xludf.DUMMYFUNCTION("""COMPUTED_VALUE"""),"")</f>
        <v/>
      </c>
    </row>
    <row r="853">
      <c r="X853" t="str">
        <f>IFERROR(__xludf.DUMMYFUNCTION("""COMPUTED_VALUE"""),"")</f>
        <v/>
      </c>
    </row>
    <row r="854">
      <c r="X854" t="str">
        <f>IFERROR(__xludf.DUMMYFUNCTION("""COMPUTED_VALUE"""),"")</f>
        <v/>
      </c>
    </row>
    <row r="855">
      <c r="X855" t="str">
        <f>IFERROR(__xludf.DUMMYFUNCTION("""COMPUTED_VALUE"""),"")</f>
        <v/>
      </c>
    </row>
    <row r="856">
      <c r="X856" t="str">
        <f>IFERROR(__xludf.DUMMYFUNCTION("""COMPUTED_VALUE"""),"")</f>
        <v/>
      </c>
    </row>
    <row r="857">
      <c r="X857" t="str">
        <f>IFERROR(__xludf.DUMMYFUNCTION("""COMPUTED_VALUE"""),"")</f>
        <v/>
      </c>
    </row>
    <row r="858">
      <c r="X858" t="str">
        <f>IFERROR(__xludf.DUMMYFUNCTION("""COMPUTED_VALUE"""),"")</f>
        <v/>
      </c>
    </row>
    <row r="859">
      <c r="X859" t="str">
        <f>IFERROR(__xludf.DUMMYFUNCTION("""COMPUTED_VALUE"""),"")</f>
        <v/>
      </c>
    </row>
    <row r="860">
      <c r="X860" t="str">
        <f>IFERROR(__xludf.DUMMYFUNCTION("""COMPUTED_VALUE"""),"")</f>
        <v/>
      </c>
    </row>
    <row r="861">
      <c r="X861" t="str">
        <f>IFERROR(__xludf.DUMMYFUNCTION("""COMPUTED_VALUE"""),"")</f>
        <v/>
      </c>
    </row>
    <row r="862">
      <c r="X862" t="str">
        <f>IFERROR(__xludf.DUMMYFUNCTION("""COMPUTED_VALUE"""),"")</f>
        <v/>
      </c>
    </row>
    <row r="863">
      <c r="X863" t="str">
        <f>IFERROR(__xludf.DUMMYFUNCTION("""COMPUTED_VALUE"""),"")</f>
        <v/>
      </c>
    </row>
    <row r="864">
      <c r="X864" t="str">
        <f>IFERROR(__xludf.DUMMYFUNCTION("""COMPUTED_VALUE"""),"")</f>
        <v/>
      </c>
    </row>
    <row r="865">
      <c r="X865" t="str">
        <f>IFERROR(__xludf.DUMMYFUNCTION("""COMPUTED_VALUE"""),"")</f>
        <v/>
      </c>
    </row>
    <row r="866">
      <c r="X866" t="str">
        <f>IFERROR(__xludf.DUMMYFUNCTION("""COMPUTED_VALUE"""),"")</f>
        <v/>
      </c>
    </row>
    <row r="867">
      <c r="X867" t="str">
        <f>IFERROR(__xludf.DUMMYFUNCTION("""COMPUTED_VALUE"""),"")</f>
        <v/>
      </c>
    </row>
    <row r="868">
      <c r="X868" t="str">
        <f>IFERROR(__xludf.DUMMYFUNCTION("""COMPUTED_VALUE"""),"")</f>
        <v/>
      </c>
    </row>
    <row r="869">
      <c r="X869" t="str">
        <f>IFERROR(__xludf.DUMMYFUNCTION("""COMPUTED_VALUE"""),"")</f>
        <v/>
      </c>
    </row>
    <row r="870">
      <c r="X870" t="str">
        <f>IFERROR(__xludf.DUMMYFUNCTION("""COMPUTED_VALUE"""),"")</f>
        <v/>
      </c>
    </row>
    <row r="871">
      <c r="X871" t="str">
        <f>IFERROR(__xludf.DUMMYFUNCTION("""COMPUTED_VALUE"""),"")</f>
        <v/>
      </c>
    </row>
    <row r="872">
      <c r="X872" t="str">
        <f>IFERROR(__xludf.DUMMYFUNCTION("""COMPUTED_VALUE"""),"")</f>
        <v/>
      </c>
    </row>
    <row r="873">
      <c r="X873" t="str">
        <f>IFERROR(__xludf.DUMMYFUNCTION("""COMPUTED_VALUE"""),"")</f>
        <v/>
      </c>
    </row>
    <row r="874">
      <c r="X874" t="str">
        <f>IFERROR(__xludf.DUMMYFUNCTION("""COMPUTED_VALUE"""),"")</f>
        <v/>
      </c>
    </row>
    <row r="875">
      <c r="X875" t="str">
        <f>IFERROR(__xludf.DUMMYFUNCTION("""COMPUTED_VALUE"""),"")</f>
        <v/>
      </c>
    </row>
    <row r="876">
      <c r="X876" t="str">
        <f>IFERROR(__xludf.DUMMYFUNCTION("""COMPUTED_VALUE"""),"")</f>
        <v/>
      </c>
    </row>
    <row r="877">
      <c r="X877" t="str">
        <f>IFERROR(__xludf.DUMMYFUNCTION("""COMPUTED_VALUE"""),"")</f>
        <v/>
      </c>
    </row>
    <row r="878">
      <c r="X878" t="str">
        <f>IFERROR(__xludf.DUMMYFUNCTION("""COMPUTED_VALUE"""),"")</f>
        <v/>
      </c>
    </row>
    <row r="879">
      <c r="X879" t="str">
        <f>IFERROR(__xludf.DUMMYFUNCTION("""COMPUTED_VALUE"""),"")</f>
        <v/>
      </c>
    </row>
    <row r="880">
      <c r="X880" t="str">
        <f>IFERROR(__xludf.DUMMYFUNCTION("""COMPUTED_VALUE"""),"")</f>
        <v/>
      </c>
    </row>
    <row r="881">
      <c r="X881" t="str">
        <f>IFERROR(__xludf.DUMMYFUNCTION("""COMPUTED_VALUE"""),"")</f>
        <v/>
      </c>
    </row>
    <row r="882">
      <c r="X882" t="str">
        <f>IFERROR(__xludf.DUMMYFUNCTION("""COMPUTED_VALUE"""),"")</f>
        <v/>
      </c>
    </row>
    <row r="883">
      <c r="X883" t="str">
        <f>IFERROR(__xludf.DUMMYFUNCTION("""COMPUTED_VALUE"""),"")</f>
        <v/>
      </c>
    </row>
    <row r="884">
      <c r="X884" t="str">
        <f>IFERROR(__xludf.DUMMYFUNCTION("""COMPUTED_VALUE"""),"")</f>
        <v/>
      </c>
    </row>
    <row r="885">
      <c r="X885" t="str">
        <f>IFERROR(__xludf.DUMMYFUNCTION("""COMPUTED_VALUE"""),"")</f>
        <v/>
      </c>
    </row>
    <row r="886">
      <c r="X886" t="str">
        <f>IFERROR(__xludf.DUMMYFUNCTION("""COMPUTED_VALUE"""),"")</f>
        <v/>
      </c>
    </row>
    <row r="887">
      <c r="X887" t="str">
        <f>IFERROR(__xludf.DUMMYFUNCTION("""COMPUTED_VALUE"""),"")</f>
        <v/>
      </c>
    </row>
    <row r="888">
      <c r="X888" t="str">
        <f>IFERROR(__xludf.DUMMYFUNCTION("""COMPUTED_VALUE"""),"")</f>
        <v/>
      </c>
    </row>
    <row r="889">
      <c r="X889" t="str">
        <f>IFERROR(__xludf.DUMMYFUNCTION("""COMPUTED_VALUE"""),"")</f>
        <v/>
      </c>
    </row>
    <row r="890">
      <c r="X890" t="str">
        <f>IFERROR(__xludf.DUMMYFUNCTION("""COMPUTED_VALUE"""),"")</f>
        <v/>
      </c>
    </row>
    <row r="891">
      <c r="X891" t="str">
        <f>IFERROR(__xludf.DUMMYFUNCTION("""COMPUTED_VALUE"""),"")</f>
        <v/>
      </c>
    </row>
    <row r="892">
      <c r="X892" t="str">
        <f>IFERROR(__xludf.DUMMYFUNCTION("""COMPUTED_VALUE"""),"")</f>
        <v/>
      </c>
    </row>
    <row r="893">
      <c r="X893" t="str">
        <f>IFERROR(__xludf.DUMMYFUNCTION("""COMPUTED_VALUE"""),"")</f>
        <v/>
      </c>
    </row>
    <row r="894">
      <c r="X894" t="str">
        <f>IFERROR(__xludf.DUMMYFUNCTION("""COMPUTED_VALUE"""),"")</f>
        <v/>
      </c>
    </row>
    <row r="895">
      <c r="X895" t="str">
        <f>IFERROR(__xludf.DUMMYFUNCTION("""COMPUTED_VALUE"""),"")</f>
        <v/>
      </c>
    </row>
    <row r="896">
      <c r="X896" t="str">
        <f>IFERROR(__xludf.DUMMYFUNCTION("""COMPUTED_VALUE"""),"")</f>
        <v/>
      </c>
    </row>
    <row r="897">
      <c r="X897" t="str">
        <f>IFERROR(__xludf.DUMMYFUNCTION("""COMPUTED_VALUE"""),"")</f>
        <v/>
      </c>
    </row>
    <row r="898">
      <c r="X898" t="str">
        <f>IFERROR(__xludf.DUMMYFUNCTION("""COMPUTED_VALUE"""),"")</f>
        <v/>
      </c>
    </row>
    <row r="899">
      <c r="X899" t="str">
        <f>IFERROR(__xludf.DUMMYFUNCTION("""COMPUTED_VALUE"""),"")</f>
        <v/>
      </c>
    </row>
    <row r="900">
      <c r="X900" t="str">
        <f>IFERROR(__xludf.DUMMYFUNCTION("""COMPUTED_VALUE"""),"")</f>
        <v/>
      </c>
    </row>
    <row r="901">
      <c r="X901" t="str">
        <f>IFERROR(__xludf.DUMMYFUNCTION("""COMPUTED_VALUE"""),"")</f>
        <v/>
      </c>
    </row>
    <row r="902">
      <c r="X902" t="str">
        <f>IFERROR(__xludf.DUMMYFUNCTION("""COMPUTED_VALUE"""),"")</f>
        <v/>
      </c>
    </row>
    <row r="903">
      <c r="X903" t="str">
        <f>IFERROR(__xludf.DUMMYFUNCTION("""COMPUTED_VALUE"""),"")</f>
        <v/>
      </c>
    </row>
    <row r="904">
      <c r="X904" t="str">
        <f>IFERROR(__xludf.DUMMYFUNCTION("""COMPUTED_VALUE"""),"")</f>
        <v/>
      </c>
    </row>
    <row r="905">
      <c r="X905" t="str">
        <f>IFERROR(__xludf.DUMMYFUNCTION("""COMPUTED_VALUE"""),"")</f>
        <v/>
      </c>
    </row>
    <row r="906">
      <c r="X906" t="str">
        <f>IFERROR(__xludf.DUMMYFUNCTION("""COMPUTED_VALUE"""),"")</f>
        <v/>
      </c>
    </row>
    <row r="907">
      <c r="X907" t="str">
        <f>IFERROR(__xludf.DUMMYFUNCTION("""COMPUTED_VALUE"""),"")</f>
        <v/>
      </c>
    </row>
    <row r="908">
      <c r="X908" t="str">
        <f>IFERROR(__xludf.DUMMYFUNCTION("""COMPUTED_VALUE"""),"")</f>
        <v/>
      </c>
    </row>
    <row r="909">
      <c r="X909" t="str">
        <f>IFERROR(__xludf.DUMMYFUNCTION("""COMPUTED_VALUE"""),"")</f>
        <v/>
      </c>
    </row>
    <row r="910">
      <c r="X910" t="str">
        <f>IFERROR(__xludf.DUMMYFUNCTION("""COMPUTED_VALUE"""),"")</f>
        <v/>
      </c>
    </row>
    <row r="911">
      <c r="X911" t="str">
        <f>IFERROR(__xludf.DUMMYFUNCTION("""COMPUTED_VALUE"""),"")</f>
        <v/>
      </c>
    </row>
    <row r="912">
      <c r="X912" t="str">
        <f>IFERROR(__xludf.DUMMYFUNCTION("""COMPUTED_VALUE"""),"")</f>
        <v/>
      </c>
    </row>
    <row r="913">
      <c r="X913" t="str">
        <f>IFERROR(__xludf.DUMMYFUNCTION("""COMPUTED_VALUE"""),"")</f>
        <v/>
      </c>
    </row>
    <row r="914">
      <c r="X914" t="str">
        <f>IFERROR(__xludf.DUMMYFUNCTION("""COMPUTED_VALUE"""),"")</f>
        <v/>
      </c>
    </row>
    <row r="915">
      <c r="X915" t="str">
        <f>IFERROR(__xludf.DUMMYFUNCTION("""COMPUTED_VALUE"""),"")</f>
        <v/>
      </c>
    </row>
    <row r="916">
      <c r="X916" t="str">
        <f>IFERROR(__xludf.DUMMYFUNCTION("""COMPUTED_VALUE"""),"")</f>
        <v/>
      </c>
    </row>
    <row r="917">
      <c r="X917" t="str">
        <f>IFERROR(__xludf.DUMMYFUNCTION("""COMPUTED_VALUE"""),"")</f>
        <v/>
      </c>
    </row>
    <row r="918">
      <c r="X918" t="str">
        <f>IFERROR(__xludf.DUMMYFUNCTION("""COMPUTED_VALUE"""),"")</f>
        <v/>
      </c>
    </row>
    <row r="919">
      <c r="X919" t="str">
        <f>IFERROR(__xludf.DUMMYFUNCTION("""COMPUTED_VALUE"""),"")</f>
        <v/>
      </c>
    </row>
    <row r="920">
      <c r="X920" t="str">
        <f>IFERROR(__xludf.DUMMYFUNCTION("""COMPUTED_VALUE"""),"")</f>
        <v/>
      </c>
    </row>
    <row r="921">
      <c r="X921" t="str">
        <f>IFERROR(__xludf.DUMMYFUNCTION("""COMPUTED_VALUE"""),"")</f>
        <v/>
      </c>
    </row>
    <row r="922">
      <c r="X922" t="str">
        <f>IFERROR(__xludf.DUMMYFUNCTION("""COMPUTED_VALUE"""),"")</f>
        <v/>
      </c>
    </row>
    <row r="923">
      <c r="X923" t="str">
        <f>IFERROR(__xludf.DUMMYFUNCTION("""COMPUTED_VALUE"""),"")</f>
        <v/>
      </c>
    </row>
    <row r="924">
      <c r="X924" t="str">
        <f>IFERROR(__xludf.DUMMYFUNCTION("""COMPUTED_VALUE"""),"")</f>
        <v/>
      </c>
    </row>
    <row r="925">
      <c r="X925" t="str">
        <f>IFERROR(__xludf.DUMMYFUNCTION("""COMPUTED_VALUE"""),"")</f>
        <v/>
      </c>
    </row>
    <row r="926">
      <c r="X926" t="str">
        <f>IFERROR(__xludf.DUMMYFUNCTION("""COMPUTED_VALUE"""),"")</f>
        <v/>
      </c>
    </row>
    <row r="927">
      <c r="X927" t="str">
        <f>IFERROR(__xludf.DUMMYFUNCTION("""COMPUTED_VALUE"""),"")</f>
        <v/>
      </c>
    </row>
    <row r="928">
      <c r="X928" t="str">
        <f>IFERROR(__xludf.DUMMYFUNCTION("""COMPUTED_VALUE"""),"")</f>
        <v/>
      </c>
    </row>
    <row r="929">
      <c r="X929" t="str">
        <f>IFERROR(__xludf.DUMMYFUNCTION("""COMPUTED_VALUE"""),"")</f>
        <v/>
      </c>
    </row>
    <row r="930">
      <c r="X930" t="str">
        <f>IFERROR(__xludf.DUMMYFUNCTION("""COMPUTED_VALUE"""),"")</f>
        <v/>
      </c>
    </row>
    <row r="931">
      <c r="X931" t="str">
        <f>IFERROR(__xludf.DUMMYFUNCTION("""COMPUTED_VALUE"""),"")</f>
        <v/>
      </c>
    </row>
    <row r="932">
      <c r="X932" t="str">
        <f>IFERROR(__xludf.DUMMYFUNCTION("""COMPUTED_VALUE"""),"")</f>
        <v/>
      </c>
    </row>
    <row r="933">
      <c r="X933" t="str">
        <f>IFERROR(__xludf.DUMMYFUNCTION("""COMPUTED_VALUE"""),"")</f>
        <v/>
      </c>
    </row>
    <row r="934">
      <c r="X934" t="str">
        <f>IFERROR(__xludf.DUMMYFUNCTION("""COMPUTED_VALUE"""),"")</f>
        <v/>
      </c>
    </row>
    <row r="935">
      <c r="X935" t="str">
        <f>IFERROR(__xludf.DUMMYFUNCTION("""COMPUTED_VALUE"""),"")</f>
        <v/>
      </c>
    </row>
    <row r="936">
      <c r="X936" t="str">
        <f>IFERROR(__xludf.DUMMYFUNCTION("""COMPUTED_VALUE"""),"")</f>
        <v/>
      </c>
    </row>
    <row r="937">
      <c r="X937" t="str">
        <f>IFERROR(__xludf.DUMMYFUNCTION("""COMPUTED_VALUE"""),"")</f>
        <v/>
      </c>
    </row>
    <row r="938">
      <c r="X938" t="str">
        <f>IFERROR(__xludf.DUMMYFUNCTION("""COMPUTED_VALUE"""),"")</f>
        <v/>
      </c>
    </row>
    <row r="939">
      <c r="X939" t="str">
        <f>IFERROR(__xludf.DUMMYFUNCTION("""COMPUTED_VALUE"""),"")</f>
        <v/>
      </c>
    </row>
    <row r="940">
      <c r="X940" t="str">
        <f>IFERROR(__xludf.DUMMYFUNCTION("""COMPUTED_VALUE"""),"")</f>
        <v/>
      </c>
    </row>
    <row r="941">
      <c r="X941" t="str">
        <f>IFERROR(__xludf.DUMMYFUNCTION("""COMPUTED_VALUE"""),"")</f>
        <v/>
      </c>
    </row>
    <row r="942">
      <c r="X942" t="str">
        <f>IFERROR(__xludf.DUMMYFUNCTION("""COMPUTED_VALUE"""),"")</f>
        <v/>
      </c>
    </row>
    <row r="943">
      <c r="X943" t="str">
        <f>IFERROR(__xludf.DUMMYFUNCTION("""COMPUTED_VALUE"""),"")</f>
        <v/>
      </c>
    </row>
    <row r="944">
      <c r="X944" t="str">
        <f>IFERROR(__xludf.DUMMYFUNCTION("""COMPUTED_VALUE"""),"")</f>
        <v/>
      </c>
    </row>
    <row r="945">
      <c r="X945" t="str">
        <f>IFERROR(__xludf.DUMMYFUNCTION("""COMPUTED_VALUE"""),"")</f>
        <v/>
      </c>
    </row>
    <row r="946">
      <c r="X946" t="str">
        <f>IFERROR(__xludf.DUMMYFUNCTION("""COMPUTED_VALUE"""),"")</f>
        <v/>
      </c>
    </row>
    <row r="947">
      <c r="X947" t="str">
        <f>IFERROR(__xludf.DUMMYFUNCTION("""COMPUTED_VALUE"""),"")</f>
        <v/>
      </c>
    </row>
    <row r="948">
      <c r="X948" t="str">
        <f>IFERROR(__xludf.DUMMYFUNCTION("""COMPUTED_VALUE"""),"")</f>
        <v/>
      </c>
    </row>
    <row r="949">
      <c r="X949" t="str">
        <f>IFERROR(__xludf.DUMMYFUNCTION("""COMPUTED_VALUE"""),"")</f>
        <v/>
      </c>
    </row>
    <row r="950">
      <c r="X950" t="str">
        <f>IFERROR(__xludf.DUMMYFUNCTION("""COMPUTED_VALUE"""),"")</f>
        <v/>
      </c>
    </row>
    <row r="951">
      <c r="X951" t="str">
        <f>IFERROR(__xludf.DUMMYFUNCTION("""COMPUTED_VALUE"""),"")</f>
        <v/>
      </c>
    </row>
    <row r="952">
      <c r="X952" t="str">
        <f>IFERROR(__xludf.DUMMYFUNCTION("""COMPUTED_VALUE"""),"")</f>
        <v/>
      </c>
    </row>
    <row r="953">
      <c r="X953" t="str">
        <f>IFERROR(__xludf.DUMMYFUNCTION("""COMPUTED_VALUE"""),"")</f>
        <v/>
      </c>
    </row>
    <row r="954">
      <c r="X954" t="str">
        <f>IFERROR(__xludf.DUMMYFUNCTION("""COMPUTED_VALUE"""),"")</f>
        <v/>
      </c>
    </row>
    <row r="955">
      <c r="X955" t="str">
        <f>IFERROR(__xludf.DUMMYFUNCTION("""COMPUTED_VALUE"""),"")</f>
        <v/>
      </c>
    </row>
    <row r="956">
      <c r="X956" t="str">
        <f>IFERROR(__xludf.DUMMYFUNCTION("""COMPUTED_VALUE"""),"")</f>
        <v/>
      </c>
    </row>
    <row r="957">
      <c r="X957" t="str">
        <f>IFERROR(__xludf.DUMMYFUNCTION("""COMPUTED_VALUE"""),"")</f>
        <v/>
      </c>
    </row>
    <row r="958">
      <c r="X958" t="str">
        <f>IFERROR(__xludf.DUMMYFUNCTION("""COMPUTED_VALUE"""),"")</f>
        <v/>
      </c>
    </row>
    <row r="959">
      <c r="X959" t="str">
        <f>IFERROR(__xludf.DUMMYFUNCTION("""COMPUTED_VALUE"""),"")</f>
        <v/>
      </c>
    </row>
    <row r="960">
      <c r="X960" t="str">
        <f>IFERROR(__xludf.DUMMYFUNCTION("""COMPUTED_VALUE"""),"")</f>
        <v/>
      </c>
    </row>
    <row r="961">
      <c r="X961" t="str">
        <f>IFERROR(__xludf.DUMMYFUNCTION("""COMPUTED_VALUE"""),"")</f>
        <v/>
      </c>
    </row>
    <row r="962">
      <c r="X962" t="str">
        <f>IFERROR(__xludf.DUMMYFUNCTION("""COMPUTED_VALUE"""),"")</f>
        <v/>
      </c>
    </row>
    <row r="963">
      <c r="X963" t="str">
        <f>IFERROR(__xludf.DUMMYFUNCTION("""COMPUTED_VALUE"""),"")</f>
        <v/>
      </c>
    </row>
    <row r="964">
      <c r="X964" t="str">
        <f>IFERROR(__xludf.DUMMYFUNCTION("""COMPUTED_VALUE"""),"")</f>
        <v/>
      </c>
    </row>
    <row r="965">
      <c r="X965" t="str">
        <f>IFERROR(__xludf.DUMMYFUNCTION("""COMPUTED_VALUE"""),"")</f>
        <v/>
      </c>
    </row>
    <row r="966">
      <c r="X966" t="str">
        <f>IFERROR(__xludf.DUMMYFUNCTION("""COMPUTED_VALUE"""),"")</f>
        <v/>
      </c>
    </row>
    <row r="967">
      <c r="X967" t="str">
        <f>IFERROR(__xludf.DUMMYFUNCTION("""COMPUTED_VALUE"""),"")</f>
        <v/>
      </c>
    </row>
    <row r="968">
      <c r="X968" t="str">
        <f>IFERROR(__xludf.DUMMYFUNCTION("""COMPUTED_VALUE"""),"")</f>
        <v/>
      </c>
    </row>
    <row r="969">
      <c r="X969" t="str">
        <f>IFERROR(__xludf.DUMMYFUNCTION("""COMPUTED_VALUE"""),"")</f>
        <v/>
      </c>
    </row>
    <row r="970">
      <c r="X970" t="str">
        <f>IFERROR(__xludf.DUMMYFUNCTION("""COMPUTED_VALUE"""),"")</f>
        <v/>
      </c>
    </row>
    <row r="971">
      <c r="X971" t="str">
        <f>IFERROR(__xludf.DUMMYFUNCTION("""COMPUTED_VALUE"""),"")</f>
        <v/>
      </c>
    </row>
    <row r="972">
      <c r="X972" t="str">
        <f>IFERROR(__xludf.DUMMYFUNCTION("""COMPUTED_VALUE"""),"")</f>
        <v/>
      </c>
    </row>
    <row r="973">
      <c r="X973" t="str">
        <f>IFERROR(__xludf.DUMMYFUNCTION("""COMPUTED_VALUE"""),"")</f>
        <v/>
      </c>
    </row>
    <row r="974">
      <c r="X974" t="str">
        <f>IFERROR(__xludf.DUMMYFUNCTION("""COMPUTED_VALUE"""),"")</f>
        <v/>
      </c>
    </row>
    <row r="975">
      <c r="X975" t="str">
        <f>IFERROR(__xludf.DUMMYFUNCTION("""COMPUTED_VALUE"""),"")</f>
        <v/>
      </c>
    </row>
    <row r="976">
      <c r="X976" t="str">
        <f>IFERROR(__xludf.DUMMYFUNCTION("""COMPUTED_VALUE"""),"")</f>
        <v/>
      </c>
    </row>
    <row r="977">
      <c r="X977" t="str">
        <f>IFERROR(__xludf.DUMMYFUNCTION("""COMPUTED_VALUE"""),"")</f>
        <v/>
      </c>
    </row>
    <row r="978">
      <c r="X978" t="str">
        <f>IFERROR(__xludf.DUMMYFUNCTION("""COMPUTED_VALUE"""),"")</f>
        <v/>
      </c>
    </row>
    <row r="979">
      <c r="X979" t="str">
        <f>IFERROR(__xludf.DUMMYFUNCTION("""COMPUTED_VALUE"""),"")</f>
        <v/>
      </c>
    </row>
    <row r="980">
      <c r="X980" t="str">
        <f>IFERROR(__xludf.DUMMYFUNCTION("""COMPUTED_VALUE"""),"")</f>
        <v/>
      </c>
    </row>
    <row r="981">
      <c r="X981" t="str">
        <f>IFERROR(__xludf.DUMMYFUNCTION("""COMPUTED_VALUE"""),"")</f>
        <v/>
      </c>
    </row>
    <row r="982">
      <c r="X982" t="str">
        <f>IFERROR(__xludf.DUMMYFUNCTION("""COMPUTED_VALUE"""),"")</f>
        <v/>
      </c>
    </row>
    <row r="983">
      <c r="X983" t="str">
        <f>IFERROR(__xludf.DUMMYFUNCTION("""COMPUTED_VALUE"""),"")</f>
        <v/>
      </c>
    </row>
    <row r="984">
      <c r="X984" t="str">
        <f>IFERROR(__xludf.DUMMYFUNCTION("""COMPUTED_VALUE"""),"")</f>
        <v/>
      </c>
    </row>
    <row r="985">
      <c r="X985" t="str">
        <f>IFERROR(__xludf.DUMMYFUNCTION("""COMPUTED_VALUE"""),"")</f>
        <v/>
      </c>
    </row>
    <row r="986">
      <c r="X986" t="str">
        <f>IFERROR(__xludf.DUMMYFUNCTION("""COMPUTED_VALUE"""),"")</f>
        <v/>
      </c>
    </row>
    <row r="987">
      <c r="X987" t="str">
        <f>IFERROR(__xludf.DUMMYFUNCTION("""COMPUTED_VALUE"""),"")</f>
        <v/>
      </c>
    </row>
    <row r="988">
      <c r="X988" t="str">
        <f>IFERROR(__xludf.DUMMYFUNCTION("""COMPUTED_VALUE"""),"")</f>
        <v/>
      </c>
    </row>
    <row r="989">
      <c r="X989" t="str">
        <f>IFERROR(__xludf.DUMMYFUNCTION("""COMPUTED_VALUE"""),"")</f>
        <v/>
      </c>
    </row>
    <row r="990">
      <c r="X990" t="str">
        <f>IFERROR(__xludf.DUMMYFUNCTION("""COMPUTED_VALUE"""),"")</f>
        <v/>
      </c>
    </row>
    <row r="991">
      <c r="X991" t="str">
        <f>IFERROR(__xludf.DUMMYFUNCTION("""COMPUTED_VALUE"""),"")</f>
        <v/>
      </c>
    </row>
    <row r="992">
      <c r="X992" t="str">
        <f>IFERROR(__xludf.DUMMYFUNCTION("""COMPUTED_VALUE"""),"")</f>
        <v/>
      </c>
    </row>
    <row r="993">
      <c r="X993" t="str">
        <f>IFERROR(__xludf.DUMMYFUNCTION("""COMPUTED_VALUE"""),"")</f>
        <v/>
      </c>
    </row>
    <row r="994">
      <c r="X994" t="str">
        <f>IFERROR(__xludf.DUMMYFUNCTION("""COMPUTED_VALUE"""),"")</f>
        <v/>
      </c>
    </row>
    <row r="995">
      <c r="X995" t="str">
        <f>IFERROR(__xludf.DUMMYFUNCTION("""COMPUTED_VALUE"""),"")</f>
        <v/>
      </c>
    </row>
    <row r="996">
      <c r="X996" t="str">
        <f>IFERROR(__xludf.DUMMYFUNCTION("""COMPUTED_VALUE"""),"")</f>
        <v/>
      </c>
    </row>
    <row r="997">
      <c r="X997" t="str">
        <f>IFERROR(__xludf.DUMMYFUNCTION("""COMPUTED_VALUE"""),"")</f>
        <v/>
      </c>
    </row>
    <row r="998">
      <c r="X998" t="str">
        <f>IFERROR(__xludf.DUMMYFUNCTION("""COMPUTED_VALUE"""),"")</f>
        <v/>
      </c>
    </row>
    <row r="999">
      <c r="X999" t="str">
        <f>IFERROR(__xludf.DUMMYFUNCTION("""COMPUTED_VALUE"""),"")</f>
        <v/>
      </c>
    </row>
    <row r="1000">
      <c r="X1000" t="str">
        <f>IFERROR(__xludf.DUMMYFUNCTION("""COMPUTED_VALUE"""),"")</f>
        <v/>
      </c>
    </row>
  </sheetData>
  <autoFilter ref="$A$1:$AA$1000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</hyperlinks>
  <ignoredErrors>
    <ignoredError numberStoredAsText="1" sqref="A1:Y1000"/>
  </ignoredErrors>
  <legacyDrawing r:id="rId157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00"/>
  <sheetViews>
    <sheetView workbookViewId="0" rightToLeft="0"/>
  </sheetViews>
  <sheetData>
    <row r="1" xml:space="preserve">
      <c r="A1" t="str">
        <f>IFERROR(__xludf.DUMMYFUNCTION("UNIQUE(IMPORTRANGE(""1CG1QQI8OyvNVglxqlqPT9fqRo7FNy3SJfpLGvZcMxvQ"", ""Unit Info!A:A""))"),"UnitName")</f>
        <v>UnitName</v>
      </c>
      <c r="B1" t="str">
        <v>Tier</v>
      </c>
      <c r="C1" t="str">
        <v>NumericalRank</v>
      </c>
      <c r="D1" t="str">
        <v>Notes</v>
      </c>
      <c r="G1" t="str" xml:space="preserve">
        <v xml:space="preserve">Form-Filling Instructions
1. Assign a Rank (1–1000)
   - Enter a numerical value between 1 (lowest) and 100 (highest).
   - Include a brief explanation only if there’s a reason for why you gave that rank.</v>
      </c>
    </row>
    <row r="2">
      <c r="A2" t="str">
        <f>IFERROR(__xludf.DUMMYFUNCTION("""COMPUTED_VALUE"""),"GoblinAxeman")</f>
        <v>GoblinAxeman</v>
      </c>
      <c r="B2" t="str">
        <f>IF(C2="", "", IF(C2&gt;=900, "S", IF(C2&gt;=800, "A", IF(C2&gt;=700, "B", IF(C2&gt;=600, "C", IF(C2&gt;=500, "D", "F"))))))</f>
        <v/>
      </c>
    </row>
    <row r="3">
      <c r="A3" t="str">
        <f>IFERROR(__xludf.DUMMYFUNCTION("""COMPUTED_VALUE"""),"Berserker")</f>
        <v>Berserker</v>
      </c>
      <c r="B3" t="str">
        <f>IF(C3="", "", IF(C3&gt;=900, "S", IF(C3&gt;=800, "A", IF(C3&gt;=700, "B", IF(C3&gt;=600, "C", IF(C3&gt;=500, "D", "F"))))))</f>
        <v/>
      </c>
    </row>
    <row r="4">
      <c r="A4" t="str">
        <f>IFERROR(__xludf.DUMMYFUNCTION("""COMPUTED_VALUE"""),"OmelaTree")</f>
        <v>OmelaTree</v>
      </c>
      <c r="B4" t="str">
        <f>IF(C4="", "", IF(C4&gt;=900, "S", IF(C4&gt;=800, "A", IF(C4&gt;=700, "B", IF(C4&gt;=600, "C", IF(C4&gt;=500, "D", "F"))))))</f>
        <v>B</v>
      </c>
      <c r="C4">
        <v>730</v>
      </c>
      <c r="D4" t="str">
        <v>Great tank, built-in 25% damage reflect. Outclassed by a few high dmg warriors.</v>
      </c>
    </row>
    <row r="5">
      <c r="A5" t="str">
        <f>IFERROR(__xludf.DUMMYFUNCTION("""COMPUTED_VALUE"""),"DemonicArbalester")</f>
        <v>DemonicArbalester</v>
      </c>
      <c r="B5" t="str">
        <f>IF(C5="", "", IF(C5&gt;=900, "S", IF(C5&gt;=800, "A", IF(C5&gt;=700, "B", IF(C5&gt;=600, "C", IF(C5&gt;=500, "D", "F"))))))</f>
        <v/>
      </c>
      <c r="D5" t="str">
        <v>Great replacement for marksman, high single target damage.</v>
      </c>
    </row>
    <row r="6">
      <c r="A6" t="str">
        <f>IFERROR(__xludf.DUMMYFUNCTION("""COMPUTED_VALUE"""),"Bartender")</f>
        <v>Bartender</v>
      </c>
      <c r="B6" t="str">
        <f>IF(C6="", "", IF(C6&gt;=900, "S", IF(C6&gt;=800, "A", IF(C6&gt;=700, "B", IF(C6&gt;=600, "C", IF(C6&gt;=500, "D", "F"))))))</f>
        <v>C</v>
      </c>
      <c r="C6">
        <v>610</v>
      </c>
      <c r="D6" t="str">
        <v>AoE-targeted heals and slight buff. Better then alchemist and more comparable to Saint</v>
      </c>
    </row>
    <row r="7">
      <c r="A7" t="str">
        <f>IFERROR(__xludf.DUMMYFUNCTION("""COMPUTED_VALUE"""),"LoveWizard")</f>
        <v>LoveWizard</v>
      </c>
      <c r="B7" t="str">
        <f>IF(C7="", "", IF(C7&gt;=900, "S", IF(C7&gt;=800, "A", IF(C7&gt;=700, "B", IF(C7&gt;=600, "C", IF(C7&gt;=500, "D", "F"))))))</f>
        <v/>
      </c>
      <c r="D7" t="str">
        <v>Worst charming unit. Outclassed by every other charmer by miles.</v>
      </c>
    </row>
    <row r="8">
      <c r="A8" t="str">
        <f>IFERROR(__xludf.DUMMYFUNCTION("""COMPUTED_VALUE"""),"Miner")</f>
        <v>Miner</v>
      </c>
      <c r="B8" t="str">
        <f>IF(C8="", "", IF(C8&gt;=900, "S", IF(C8&gt;=800, "A", IF(C8&gt;=700, "B", IF(C8&gt;=600, "C", IF(C8&gt;=500, "D", "F"))))))</f>
        <v/>
      </c>
    </row>
    <row r="9">
      <c r="A9" t="str">
        <f>IFERROR(__xludf.DUMMYFUNCTION("""COMPUTED_VALUE"""),"TheIceQueen")</f>
        <v>TheIceQueen</v>
      </c>
      <c r="B9" t="str">
        <f>IF(C9="", "", IF(C9&gt;=900, "S", IF(C9&gt;=800, "A", IF(C9&gt;=700, "B", IF(C9&gt;=600, "C", IF(C9&gt;=500, "D", "F"))))))</f>
        <v>F</v>
      </c>
      <c r="C9">
        <v>1</v>
      </c>
      <c r="D9" t="str">
        <v>This Is A Boss Unit (Unobtainable)</v>
      </c>
    </row>
    <row r="10">
      <c r="A10" t="str">
        <f>IFERROR(__xludf.DUMMYFUNCTION("""COMPUTED_VALUE"""),"ElvenPathfinder")</f>
        <v>ElvenPathfinder</v>
      </c>
      <c r="B10" t="str">
        <f>IF(C10="", "", IF(C10&gt;=900, "S", IF(C10&gt;=800, "A", IF(C10&gt;=700, "B", IF(C10&gt;=600, "C", IF(C10&gt;=500, "D", "F"))))))</f>
        <v/>
      </c>
    </row>
    <row r="11">
      <c r="A11" t="str">
        <f>IFERROR(__xludf.DUMMYFUNCTION("""COMPUTED_VALUE"""),"GoblinAssassin")</f>
        <v>GoblinAssassin</v>
      </c>
      <c r="B11" t="str">
        <f>IF(C11="", "", IF(C11&gt;=900, "S", IF(C11&gt;=800, "A", IF(C11&gt;=700, "B", IF(C11&gt;=600, "C", IF(C11&gt;=500, "D", "F"))))))</f>
        <v/>
      </c>
    </row>
    <row r="12">
      <c r="A12" t="str">
        <f>IFERROR(__xludf.DUMMYFUNCTION("""COMPUTED_VALUE"""),"Succubus")</f>
        <v>Succubus</v>
      </c>
      <c r="B12" t="str">
        <f>IF(C12="", "", IF(C12&gt;=900, "S", IF(C12&gt;=800, "A", IF(C12&gt;=700, "B", IF(C12&gt;=600, "C", IF(C12&gt;=500, "D", "F"))))))</f>
        <v>D</v>
      </c>
      <c r="C12">
        <v>550</v>
      </c>
      <c r="D12" t="str">
        <v>Arguably the most effective charmer, fastest attack rate keeping 100% uptime on a charmed unit at max level. Lacks HP.</v>
      </c>
    </row>
    <row r="13">
      <c r="A13" t="str">
        <f>IFERROR(__xludf.DUMMYFUNCTION("""COMPUTED_VALUE"""),"Witch")</f>
        <v>Witch</v>
      </c>
      <c r="B13" t="str">
        <f>IF(C13="", "", IF(C13&gt;=900, "S", IF(C13&gt;=800, "A", IF(C13&gt;=700, "B", IF(C13&gt;=600, "C", IF(C13&gt;=500, "D", "F"))))))</f>
        <v/>
      </c>
    </row>
    <row r="14">
      <c r="A14" t="str">
        <f>IFERROR(__xludf.DUMMYFUNCTION("""COMPUTED_VALUE"""),"Wizard")</f>
        <v>Wizard</v>
      </c>
      <c r="B14" t="str">
        <f>IF(C14="", "", IF(C14&gt;=900, "S", IF(C14&gt;=800, "A", IF(C14&gt;=700, "B", IF(C14&gt;=600, "C", IF(C14&gt;=500, "D", "F"))))))</f>
        <v/>
      </c>
    </row>
    <row r="15">
      <c r="A15" t="str">
        <f>IFERROR(__xludf.DUMMYFUNCTION("""COMPUTED_VALUE"""),"Gryla")</f>
        <v>Gryla</v>
      </c>
      <c r="B15" t="str">
        <f>IF(C15="", "", IF(C15&gt;=900, "S", IF(C15&gt;=800, "A", IF(C15&gt;=700, "B", IF(C15&gt;=600, "C", IF(C15&gt;=500, "D", "F"))))))</f>
        <v>C</v>
      </c>
      <c r="C15">
        <v>650</v>
      </c>
      <c r="D15" t="str">
        <v>Best summoner, can swarm enemies with Jolasveinar and overwhelm non-aoe compositions.</v>
      </c>
    </row>
    <row r="16">
      <c r="A16" t="str">
        <f>IFERROR(__xludf.DUMMYFUNCTION("""COMPUTED_VALUE"""),"PirateAssassinator")</f>
        <v>PirateAssassinator</v>
      </c>
      <c r="B16" t="str">
        <f>IF(C16="", "", IF(C16&gt;=900, "S", IF(C16&gt;=800, "A", IF(C16&gt;=700, "B", IF(C16&gt;=600, "C", IF(C16&gt;=500, "D", "F"))))))</f>
        <v/>
      </c>
    </row>
    <row r="17">
      <c r="A17" t="str">
        <f>IFERROR(__xludf.DUMMYFUNCTION("""COMPUTED_VALUE"""),"Yeti")</f>
        <v>Yeti</v>
      </c>
      <c r="B17" t="str">
        <f>IF(C17="", "", IF(C17&gt;=900, "S", IF(C17&gt;=800, "A", IF(C17&gt;=700, "B", IF(C17&gt;=600, "C", IF(C17&gt;=500, "D", "F"))))))</f>
        <v/>
      </c>
    </row>
    <row r="18">
      <c r="A18" t="str">
        <f>IFERROR(__xludf.DUMMYFUNCTION("""COMPUTED_VALUE"""),"Pyromancer")</f>
        <v>Pyromancer</v>
      </c>
      <c r="B18" t="str">
        <f>IF(C18="", "", IF(C18&gt;=900, "S", IF(C18&gt;=800, "A", IF(C18&gt;=700, "B", IF(C18&gt;=600, "C", IF(C18&gt;=500, "D", "F"))))))</f>
        <v/>
      </c>
    </row>
    <row r="19">
      <c r="A19" t="str">
        <f>IFERROR(__xludf.DUMMYFUNCTION("""COMPUTED_VALUE"""),"Demon")</f>
        <v>Demon</v>
      </c>
      <c r="B19" t="str">
        <f>IF(C19="", "", IF(C19&gt;=900, "S", IF(C19&gt;=800, "A", IF(C19&gt;=700, "B", IF(C19&gt;=600, "C", IF(C19&gt;=500, "D", "F"))))))</f>
        <v>D</v>
      </c>
      <c r="C19">
        <v>580</v>
      </c>
      <c r="D19" t="str">
        <v>Decent tank, heals by 30 HP per attack. Outclassed by many higher-tier demonics.</v>
      </c>
    </row>
    <row r="20">
      <c r="A20" t="str">
        <f>IFERROR(__xludf.DUMMYFUNCTION("""COMPUTED_VALUE"""),"SummonerWizard")</f>
        <v>SummonerWizard</v>
      </c>
      <c r="B20" t="str">
        <f>IF(C20="", "", IF(C20&gt;=900, "S", IF(C20&gt;=800, "A", IF(C20&gt;=700, "B", IF(C20&gt;=600, "C", IF(C20&gt;=500, "D", "F"))))))</f>
        <v/>
      </c>
    </row>
    <row r="21">
      <c r="A21" t="str">
        <f>IFERROR(__xludf.DUMMYFUNCTION("""COMPUTED_VALUE"""),"PirateQuartermaster")</f>
        <v>PirateQuartermaster</v>
      </c>
      <c r="B21" t="str">
        <f>IF(C21="", "", IF(C21&gt;=900, "S", IF(C21&gt;=800, "A", IF(C21&gt;=700, "B", IF(C21&gt;=600, "C", IF(C21&gt;=500, "D", "F"))))))</f>
        <v>F</v>
      </c>
      <c r="C21">
        <v>470</v>
      </c>
      <c r="D21" t="str">
        <v>Only support that doesn't heal at all and buff is very minimal. (Has the coolest soundtrack though)</v>
      </c>
    </row>
    <row r="22">
      <c r="A22" t="str">
        <f>IFERROR(__xludf.DUMMYFUNCTION("""COMPUTED_VALUE"""),"VoidWizard")</f>
        <v>VoidWizard</v>
      </c>
      <c r="B22" t="str">
        <f>IF(C22="", "", IF(C22&gt;=900, "S", IF(C22&gt;=800, "A", IF(C22&gt;=700, "B", IF(C22&gt;=600, "C", IF(C22&gt;=500, "D", "F"))))))</f>
        <v/>
      </c>
    </row>
    <row r="23">
      <c r="A23" t="str">
        <f>IFERROR(__xludf.DUMMYFUNCTION("""COMPUTED_VALUE"""),"ElvenWarrior")</f>
        <v>ElvenWarrior</v>
      </c>
      <c r="B23" t="str">
        <f>IF(C23="", "", IF(C23&gt;=900, "S", IF(C23&gt;=800, "A", IF(C23&gt;=700, "B", IF(C23&gt;=600, "C", IF(C23&gt;=500, "D", "F"))))))</f>
        <v/>
      </c>
    </row>
    <row r="24">
      <c r="A24" t="str">
        <f>IFERROR(__xludf.DUMMYFUNCTION("""COMPUTED_VALUE"""),"Triton")</f>
        <v>Triton</v>
      </c>
      <c r="B24" t="str">
        <f>IF(C24="", "", IF(C24&gt;=900, "S", IF(C24&gt;=800, "A", IF(C24&gt;=700, "B", IF(C24&gt;=600, "C", IF(C24&gt;=500, "D", "F"))))))</f>
        <v>S</v>
      </c>
      <c r="C24">
        <v>900</v>
      </c>
      <c r="D24" t="str">
        <v>Heals the whole team, buffs damage and atkrate by 30%. (Untradeable)</v>
      </c>
    </row>
    <row r="25">
      <c r="A25" t="str">
        <f>IFERROR(__xludf.DUMMYFUNCTION("""COMPUTED_VALUE"""),"Roman")</f>
        <v>Roman</v>
      </c>
      <c r="B25" t="str">
        <f>IF(C25="", "", IF(C25&gt;=900, "S", IF(C25&gt;=800, "A", IF(C25&gt;=700, "B", IF(C25&gt;=600, "C", IF(C25&gt;=500, "D", "F"))))))</f>
        <v/>
      </c>
    </row>
    <row r="26">
      <c r="A26" t="str">
        <f>IFERROR(__xludf.DUMMYFUNCTION("""COMPUTED_VALUE"""),"ElvenDruid")</f>
        <v>ElvenDruid</v>
      </c>
      <c r="B26" t="str">
        <f>IF(C26="", "", IF(C26&gt;=900, "S", IF(C26&gt;=800, "A", IF(C26&gt;=700, "B", IF(C26&gt;=600, "C", IF(C26&gt;=500, "D", "F"))))))</f>
        <v/>
      </c>
    </row>
    <row r="27">
      <c r="A27" t="str">
        <f>IFERROR(__xludf.DUMMYFUNCTION("""COMPUTED_VALUE"""),"TheAdmiral")</f>
        <v>TheAdmiral</v>
      </c>
      <c r="B27" t="str">
        <f>IF(C27="", "", IF(C27&gt;=900, "S", IF(C27&gt;=800, "A", IF(C27&gt;=700, "B", IF(C27&gt;=600, "C", IF(C27&gt;=500, "D", "F"))))))</f>
        <v>F</v>
      </c>
      <c r="C27">
        <v>1</v>
      </c>
      <c r="D27" t="str">
        <v>This Is A Boss Unit (Unobtainable)</v>
      </c>
    </row>
    <row r="28">
      <c r="A28" t="str">
        <f>IFERROR(__xludf.DUMMYFUNCTION("""COMPUTED_VALUE"""),"Oceanid")</f>
        <v>Oceanid</v>
      </c>
      <c r="B28" t="str">
        <f>IF(C28="", "", IF(C28&gt;=900, "S", IF(C28&gt;=800, "A", IF(C28&gt;=700, "B", IF(C28&gt;=600, "C", IF(C28&gt;=500, "D", "F"))))))</f>
        <v>B</v>
      </c>
      <c r="C28">
        <v>700</v>
      </c>
      <c r="D28" t="str">
        <v>Very good early game option at the mythic level. High range and damage and also hits multiple targets. Easy obtainable</v>
      </c>
    </row>
    <row r="29">
      <c r="A29" t="str">
        <f>IFERROR(__xludf.DUMMYFUNCTION("""COMPUTED_VALUE"""),"Volt")</f>
        <v>Volt</v>
      </c>
      <c r="B29" t="str">
        <f>IF(C29="", "", IF(C29&gt;=900, "S", IF(C29&gt;=800, "A", IF(C29&gt;=700, "B", IF(C29&gt;=600, "C", IF(C29&gt;=500, "D", "F"))))))</f>
        <v/>
      </c>
    </row>
    <row r="30">
      <c r="A30" t="str">
        <f>IFERROR(__xludf.DUMMYFUNCTION("""COMPUTED_VALUE"""),"FireArcher")</f>
        <v>FireArcher</v>
      </c>
      <c r="B30" t="str">
        <f>IF(C30="", "", IF(C30&gt;=900, "S", IF(C30&gt;=800, "A", IF(C30&gt;=700, "B", IF(C30&gt;=600, "C", IF(C30&gt;=500, "D", "F"))))))</f>
        <v/>
      </c>
    </row>
    <row r="31">
      <c r="A31" t="str">
        <f>IFERROR(__xludf.DUMMYFUNCTION("""COMPUTED_VALUE"""),"NoobOnTheBeach")</f>
        <v>NoobOnTheBeach</v>
      </c>
      <c r="B31" t="str">
        <f>IF(C31="", "", IF(C31&gt;=900, "S", IF(C31&gt;=800, "A", IF(C31&gt;=700, "B", IF(C31&gt;=600, "C", IF(C31&gt;=500, "D", "F"))))))</f>
        <v/>
      </c>
    </row>
    <row r="32">
      <c r="A32" t="str">
        <f>IFERROR(__xludf.DUMMYFUNCTION("""COMPUTED_VALUE"""),"GoblinShaman")</f>
        <v>GoblinShaman</v>
      </c>
      <c r="B32" t="str">
        <f>IF(C32="", "", IF(C32&gt;=900, "S", IF(C32&gt;=800, "A", IF(C32&gt;=700, "B", IF(C32&gt;=600, "C", IF(C32&gt;=500, "D", "F"))))))</f>
        <v/>
      </c>
    </row>
    <row r="33">
      <c r="A33" t="str">
        <f>IFERROR(__xludf.DUMMYFUNCTION("""COMPUTED_VALUE"""),"DarkHerald")</f>
        <v>DarkHerald</v>
      </c>
      <c r="B33" t="str">
        <f>IF(C33="", "", IF(C33&gt;=900, "S", IF(C33&gt;=800, "A", IF(C33&gt;=700, "B", IF(C33&gt;=600, "C", IF(C33&gt;=500, "D", "F"))))))</f>
        <v>D</v>
      </c>
      <c r="C33">
        <v>500</v>
      </c>
      <c r="D33" t="str">
        <v xml:space="preserve">Worse then bard and harder to obtain </v>
      </c>
    </row>
    <row r="34">
      <c r="A34" t="str">
        <f>IFERROR(__xludf.DUMMYFUNCTION("""COMPUTED_VALUE"""),"Vampire")</f>
        <v>Vampire</v>
      </c>
      <c r="B34" t="str">
        <f>IF(C34="", "", IF(C34&gt;=900, "S", IF(C34&gt;=800, "A", IF(C34&gt;=700, "B", IF(C34&gt;=600, "C", IF(C34&gt;=500, "D", "F"))))))</f>
        <v/>
      </c>
    </row>
    <row r="35">
      <c r="A35" t="str">
        <f>IFERROR(__xludf.DUMMYFUNCTION("""COMPUTED_VALUE"""),"Cupid")</f>
        <v>Cupid</v>
      </c>
      <c r="B35" t="str">
        <f>IF(C35="", "", IF(C35&gt;=900, "S", IF(C35&gt;=800, "A", IF(C35&gt;=700, "B", IF(C35&gt;=600, "C", IF(C35&gt;=500, "D", "F"))))))</f>
        <v/>
      </c>
    </row>
    <row r="36">
      <c r="A36" t="str">
        <f>IFERROR(__xludf.DUMMYFUNCTION("""COMPUTED_VALUE"""),"Crabman")</f>
        <v>Crabman</v>
      </c>
      <c r="B36" t="str">
        <f>IF(C36="", "", IF(C36&gt;=900, "S", IF(C36&gt;=800, "A", IF(C36&gt;=700, "B", IF(C36&gt;=600, "C", IF(C36&gt;=500, "D", "F"))))))</f>
        <v/>
      </c>
    </row>
    <row r="37">
      <c r="A37" t="str">
        <f>IFERROR(__xludf.DUMMYFUNCTION("""COMPUTED_VALUE"""),"Barbarian")</f>
        <v>Barbarian</v>
      </c>
      <c r="B37" t="str">
        <f>IF(C37="", "", IF(C37&gt;=900, "S", IF(C37&gt;=800, "A", IF(C37&gt;=700, "B", IF(C37&gt;=600, "C", IF(C37&gt;=500, "D", "F"))))))</f>
        <v/>
      </c>
    </row>
    <row r="38">
      <c r="A38" t="str">
        <f>IFERROR(__xludf.DUMMYFUNCTION("""COMPUTED_VALUE"""),"TheReaper")</f>
        <v>TheReaper</v>
      </c>
      <c r="B38" t="str">
        <f>IF(C38="", "", IF(C38&gt;=900, "S", IF(C38&gt;=800, "A", IF(C38&gt;=700, "B", IF(C38&gt;=600, "C", IF(C38&gt;=500, "D", "F"))))))</f>
        <v>F</v>
      </c>
      <c r="C38">
        <v>1</v>
      </c>
      <c r="D38" t="str">
        <v>This Is A Boss Unit (Unobtainable)</v>
      </c>
    </row>
    <row r="39">
      <c r="A39" t="str">
        <f>IFERROR(__xludf.DUMMYFUNCTION("""COMPUTED_VALUE"""),"Spearman")</f>
        <v>Spearman</v>
      </c>
      <c r="B39" t="str">
        <f>IF(C39="", "", IF(C39&gt;=900, "S", IF(C39&gt;=800, "A", IF(C39&gt;=700, "B", IF(C39&gt;=600, "C", IF(C39&gt;=500, "D", "F"))))))</f>
        <v/>
      </c>
    </row>
    <row r="40">
      <c r="A40" t="str">
        <f>IFERROR(__xludf.DUMMYFUNCTION("""COMPUTED_VALUE"""),"ElvenWizard")</f>
        <v>ElvenWizard</v>
      </c>
      <c r="B40" t="str">
        <f>IF(C40="", "", IF(C40&gt;=900, "S", IF(C40&gt;=800, "A", IF(C40&gt;=700, "B", IF(C40&gt;=600, "C", IF(C40&gt;=500, "D", "F"))))))</f>
        <v/>
      </c>
    </row>
    <row r="41">
      <c r="A41" t="str">
        <f>IFERROR(__xludf.DUMMYFUNCTION("""COMPUTED_VALUE"""),"Nereid")</f>
        <v>Nereid</v>
      </c>
      <c r="B41" t="str">
        <f>IF(C41="", "", IF(C41&gt;=900, "S", IF(C41&gt;=800, "A", IF(C41&gt;=700, "B", IF(C41&gt;=600, "C", IF(C41&gt;=500, "D", "F"))))))</f>
        <v>C</v>
      </c>
      <c r="C41">
        <v>690</v>
      </c>
      <c r="D41" t="str">
        <v xml:space="preserve">Best option for a healer untill cureflare. Lacks aoe heals but good dps </v>
      </c>
    </row>
    <row r="42">
      <c r="A42" t="str">
        <f>IFERROR(__xludf.DUMMYFUNCTION("""COMPUTED_VALUE"""),"Assassin")</f>
        <v>Assassin</v>
      </c>
      <c r="B42" t="str">
        <f>IF(C42="", "", IF(C42&gt;=900, "S", IF(C42&gt;=800, "A", IF(C42&gt;=700, "B", IF(C42&gt;=600, "C", IF(C42&gt;=500, "D", "F"))))))</f>
        <v/>
      </c>
    </row>
    <row r="43">
      <c r="A43" t="str">
        <f>IFERROR(__xludf.DUMMYFUNCTION("""COMPUTED_VALUE"""),"GoblinArcher")</f>
        <v>GoblinArcher</v>
      </c>
      <c r="B43" t="str">
        <f>IF(C43="", "", IF(C43&gt;=900, "S", IF(C43&gt;=800, "A", IF(C43&gt;=700, "B", IF(C43&gt;=600, "C", IF(C43&gt;=500, "D", "F"))))))</f>
        <v/>
      </c>
    </row>
    <row r="44">
      <c r="A44" t="str">
        <f>IFERROR(__xludf.DUMMYFUNCTION("""COMPUTED_VALUE"""),"Hoplomachus")</f>
        <v>Hoplomachus</v>
      </c>
      <c r="B44" t="str">
        <f>IF(C44="", "", IF(C44&gt;=900, "S", IF(C44&gt;=800, "A", IF(C44&gt;=700, "B", IF(C44&gt;=600, "C", IF(C44&gt;=500, "D", "F"))))))</f>
        <v/>
      </c>
    </row>
    <row r="45">
      <c r="A45" t="str">
        <f>IFERROR(__xludf.DUMMYFUNCTION("""COMPUTED_VALUE"""),"Bandit")</f>
        <v>Bandit</v>
      </c>
      <c r="B45" t="str">
        <f>IF(C45="", "", IF(C45&gt;=900, "S", IF(C45&gt;=800, "A", IF(C45&gt;=700, "B", IF(C45&gt;=600, "C", IF(C45&gt;=500, "D", "F"))))))</f>
        <v>C</v>
      </c>
      <c r="C45">
        <v>600</v>
      </c>
      <c r="D45" t="str">
        <v xml:space="preserve">Best mythic out of the non boss crates. Good aoe damage and best ranger option untill you expand into Poseidon and boss crate mythics </v>
      </c>
    </row>
    <row r="46">
      <c r="A46" t="str">
        <f>IFERROR(__xludf.DUMMYFUNCTION("""COMPUTED_VALUE"""),"Sharkman")</f>
        <v>Sharkman</v>
      </c>
      <c r="B46" t="str">
        <f>IF(C46="", "", IF(C46&gt;=900, "S", IF(C46&gt;=800, "A", IF(C46&gt;=700, "B", IF(C46&gt;=600, "C", IF(C46&gt;=500, "D", "F"))))))</f>
        <v>C</v>
      </c>
      <c r="C46">
        <v>600</v>
      </c>
      <c r="D46" t="str">
        <v>Insanely overpowered warrior option for an epic. Better then every warrior mythic and below due to its crazy hp loss abilty (Berserker mode)</v>
      </c>
    </row>
    <row r="47">
      <c r="A47" t="str">
        <f>IFERROR(__xludf.DUMMYFUNCTION("""COMPUTED_VALUE"""),"Squire")</f>
        <v>Squire</v>
      </c>
      <c r="B47" t="str">
        <f>IF(C47="", "", IF(C47&gt;=900, "S", IF(C47&gt;=800, "A", IF(C47&gt;=700, "B", IF(C47&gt;=600, "C", IF(C47&gt;=500, "D", "F"))))))</f>
        <v/>
      </c>
    </row>
    <row r="48">
      <c r="A48" t="str">
        <f>IFERROR(__xludf.DUMMYFUNCTION("""COMPUTED_VALUE"""),"Gladiator")</f>
        <v>Gladiator</v>
      </c>
      <c r="B48" t="str">
        <f>IF(C48="", "", IF(C48&gt;=900, "S", IF(C48&gt;=800, "A", IF(C48&gt;=700, "B", IF(C48&gt;=600, "C", IF(C48&gt;=500, "D", "F"))))))</f>
        <v/>
      </c>
    </row>
    <row r="49">
      <c r="A49" t="str">
        <f>IFERROR(__xludf.DUMMYFUNCTION("""COMPUTED_VALUE"""),"SkeletonDuelist")</f>
        <v>SkeletonDuelist</v>
      </c>
      <c r="B49" t="str">
        <f>IF(C49="", "", IF(C49&gt;=900, "S", IF(C49&gt;=800, "A", IF(C49&gt;=700, "B", IF(C49&gt;=600, "C", IF(C49&gt;=500, "D", "F"))))))</f>
        <v/>
      </c>
    </row>
    <row r="50">
      <c r="A50" t="str">
        <f>IFERROR(__xludf.DUMMYFUNCTION("""COMPUTED_VALUE"""),"Peasant")</f>
        <v>Peasant</v>
      </c>
      <c r="B50" t="str">
        <f>IF(C50="", "", IF(C50&gt;=900, "S", IF(C50&gt;=800, "A", IF(C50&gt;=700, "B", IF(C50&gt;=600, "C", IF(C50&gt;=500, "D", "F"))))))</f>
        <v/>
      </c>
    </row>
    <row r="51">
      <c r="A51" t="str">
        <f>IFERROR(__xludf.DUMMYFUNCTION("""COMPUTED_VALUE"""),"Frostflame")</f>
        <v>Frostflame</v>
      </c>
      <c r="B51" t="str">
        <f>IF(C51="", "", IF(C51&gt;=900, "S", IF(C51&gt;=800, "A", IF(C51&gt;=700, "B", IF(C51&gt;=600, "C", IF(C51&gt;=500, "D", "F"))))))</f>
        <v/>
      </c>
    </row>
    <row r="52">
      <c r="A52" t="str">
        <f>IFERROR(__xludf.DUMMYFUNCTION("""COMPUTED_VALUE"""),"SkeletonAssassin")</f>
        <v>SkeletonAssassin</v>
      </c>
      <c r="B52" t="str">
        <f>IF(C52="", "", IF(C52&gt;=900, "S", IF(C52&gt;=800, "A", IF(C52&gt;=700, "B", IF(C52&gt;=600, "C", IF(C52&gt;=500, "D", "F"))))))</f>
        <v/>
      </c>
    </row>
    <row r="53">
      <c r="A53" t="str">
        <f>IFERROR(__xludf.DUMMYFUNCTION("""COMPUTED_VALUE"""),"GoblinTank")</f>
        <v>GoblinTank</v>
      </c>
      <c r="B53" t="str">
        <f>IF(C53="", "", IF(C53&gt;=900, "S", IF(C53&gt;=800, "A", IF(C53&gt;=700, "B", IF(C53&gt;=600, "C", IF(C53&gt;=500, "D", "F"))))))</f>
        <v/>
      </c>
    </row>
    <row r="54">
      <c r="A54" t="str">
        <f>IFERROR(__xludf.DUMMYFUNCTION("""COMPUTED_VALUE"""),"SojutsuMaster")</f>
        <v>SojutsuMaster</v>
      </c>
      <c r="B54" t="str">
        <f>IF(C54="", "", IF(C54&gt;=900, "S", IF(C54&gt;=800, "A", IF(C54&gt;=700, "B", IF(C54&gt;=600, "C", IF(C54&gt;=500, "D", "F"))))))</f>
        <v/>
      </c>
    </row>
    <row r="55">
      <c r="A55" t="str">
        <f>IFERROR(__xludf.DUMMYFUNCTION("""COMPUTED_VALUE"""),"GoblinKing")</f>
        <v>GoblinKing</v>
      </c>
      <c r="B55" t="str">
        <f>IF(C55="", "", IF(C55&gt;=900, "S", IF(C55&gt;=800, "A", IF(C55&gt;=700, "B", IF(C55&gt;=600, "C", IF(C55&gt;=500, "D", "F"))))))</f>
        <v>F</v>
      </c>
      <c r="C55">
        <v>1</v>
      </c>
      <c r="D55" t="str">
        <v>This Is A Boss Unit (Unobtainable)</v>
      </c>
    </row>
    <row r="56">
      <c r="A56" t="str">
        <f>IFERROR(__xludf.DUMMYFUNCTION("""COMPUTED_VALUE"""),"PeasantArcher")</f>
        <v>PeasantArcher</v>
      </c>
      <c r="B56" t="str">
        <f>IF(C56="", "", IF(C56&gt;=900, "S", IF(C56&gt;=800, "A", IF(C56&gt;=700, "B", IF(C56&gt;=600, "C", IF(C56&gt;=500, "D", "F"))))))</f>
        <v/>
      </c>
    </row>
    <row r="57">
      <c r="A57" t="str">
        <f>IFERROR(__xludf.DUMMYFUNCTION("""COMPUTED_VALUE"""),"NoobShaman")</f>
        <v>NoobShaman</v>
      </c>
      <c r="B57" t="str">
        <f>IF(C57="", "", IF(C57&gt;=900, "S", IF(C57&gt;=800, "A", IF(C57&gt;=700, "B", IF(C57&gt;=600, "C", IF(C57&gt;=500, "D", "F"))))))</f>
        <v/>
      </c>
    </row>
    <row r="58">
      <c r="A58" t="str">
        <f>IFERROR(__xludf.DUMMYFUNCTION("""COMPUTED_VALUE"""),"BabyGoblinWarrior")</f>
        <v>BabyGoblinWarrior</v>
      </c>
      <c r="B58" t="str">
        <f>IF(C58="", "", IF(C58&gt;=900, "S", IF(C58&gt;=800, "A", IF(C58&gt;=700, "B", IF(C58&gt;=600, "C", IF(C58&gt;=500, "D", "F"))))))</f>
        <v/>
      </c>
    </row>
    <row r="59">
      <c r="A59" t="str">
        <f>IFERROR(__xludf.DUMMYFUNCTION("""COMPUTED_VALUE"""),"SkeletonMage")</f>
        <v>SkeletonMage</v>
      </c>
      <c r="B59" t="str">
        <f>IF(C59="", "", IF(C59&gt;=900, "S", IF(C59&gt;=800, "A", IF(C59&gt;=700, "B", IF(C59&gt;=600, "C", IF(C59&gt;=500, "D", "F"))))))</f>
        <v/>
      </c>
    </row>
    <row r="60">
      <c r="A60" t="str">
        <f>IFERROR(__xludf.DUMMYFUNCTION("""COMPUTED_VALUE"""),"Commander")</f>
        <v>Commander</v>
      </c>
      <c r="B60" t="str">
        <f>IF(C60="", "", IF(C60&gt;=900, "S", IF(C60&gt;=800, "A", IF(C60&gt;=700, "B", IF(C60&gt;=600, "C", IF(C60&gt;=500, "D", "F"))))))</f>
        <v>A</v>
      </c>
      <c r="C60">
        <v>860</v>
      </c>
      <c r="D60" t="str">
        <v>2nd best healer in the game, can heal all units on team and provides a 20% damage buff.</v>
      </c>
    </row>
    <row r="61">
      <c r="A61" t="str">
        <f>IFERROR(__xludf.DUMMYFUNCTION("""COMPUTED_VALUE"""),"ElvenSniper")</f>
        <v>ElvenSniper</v>
      </c>
      <c r="B61" t="str">
        <f>IF(C61="", "", IF(C61&gt;=900, "S", IF(C61&gt;=800, "A", IF(C61&gt;=700, "B", IF(C61&gt;=600, "C", IF(C61&gt;=500, "D", "F"))))))</f>
        <v/>
      </c>
    </row>
    <row r="62">
      <c r="A62" t="str">
        <f>IFERROR(__xludf.DUMMYFUNCTION("""COMPUTED_VALUE"""),"ChristmasElfWizard")</f>
        <v>ChristmasElfWizard</v>
      </c>
      <c r="B62" t="str">
        <f>IF(C62="", "", IF(C62&gt;=900, "S", IF(C62&gt;=800, "A", IF(C62&gt;=700, "B", IF(C62&gt;=600, "C", IF(C62&gt;=500, "D", "F"))))))</f>
        <v/>
      </c>
    </row>
    <row r="63">
      <c r="A63" t="str">
        <f>IFERROR(__xludf.DUMMYFUNCTION("""COMPUTED_VALUE"""),"Krampus")</f>
        <v>Krampus</v>
      </c>
      <c r="B63" t="str">
        <f>IF(C63="", "", IF(C63&gt;=900, "S", IF(C63&gt;=800, "A", IF(C63&gt;=700, "B", IF(C63&gt;=600, "C", IF(C63&gt;=500, "D", "F"))))))</f>
        <v>B</v>
      </c>
      <c r="C63">
        <v>710</v>
      </c>
      <c r="D63" t="str">
        <v>Pretty much tied for dps with Poseidon, very useful as a shoe-in for Black Dragon, better usage than Jack.</v>
      </c>
    </row>
    <row r="64">
      <c r="A64" t="str">
        <f>IFERROR(__xludf.DUMMYFUNCTION("""COMPUTED_VALUE"""),"TheIceQueenSmall")</f>
        <v>TheIceQueenSmall</v>
      </c>
      <c r="B64" t="str">
        <f>IF(C64="", "", IF(C64&gt;=900, "S", IF(C64&gt;=800, "A", IF(C64&gt;=700, "B", IF(C64&gt;=600, "C", IF(C64&gt;=500, "D", "F"))))))</f>
        <v>C</v>
      </c>
      <c r="C64">
        <v>650</v>
      </c>
      <c r="D64" t="str">
        <v>Only obtained from robux or boss crate from wizard toward. Worse version of yoki onna with aoe and debuff</v>
      </c>
    </row>
    <row r="65">
      <c r="A65" t="str">
        <f>IFERROR(__xludf.DUMMYFUNCTION("""COMPUTED_VALUE"""),"SmallBlackDragon")</f>
        <v>SmallBlackDragon</v>
      </c>
      <c r="B65" t="str">
        <f>IF(C65="", "", IF(C65&gt;=900, "S", IF(C65&gt;=800, "A", IF(C65&gt;=700, "B", IF(C65&gt;=600, "C", IF(C65&gt;=500, "D", "F"))))))</f>
        <v>S</v>
      </c>
      <c r="C65">
        <v>990</v>
      </c>
      <c r="D65" t="str">
        <v>Best unit in the game when maxed, berserker innate buffs and massive HP pool make this unit a must-have.</v>
      </c>
    </row>
    <row r="66">
      <c r="A66" t="str">
        <f>IFERROR(__xludf.DUMMYFUNCTION("""COMPUTED_VALUE"""),"BloodMage")</f>
        <v>BloodMage</v>
      </c>
      <c r="B66" t="str">
        <f>IF(C66="", "", IF(C66&gt;=900, "S", IF(C66&gt;=800, "A", IF(C66&gt;=700, "B", IF(C66&gt;=600, "C", IF(C66&gt;=500, "D", "F"))))))</f>
        <v/>
      </c>
    </row>
    <row r="67">
      <c r="A67" t="str">
        <f>IFERROR(__xludf.DUMMYFUNCTION("""COMPUTED_VALUE"""),"Bard")</f>
        <v>Bard</v>
      </c>
      <c r="B67" t="str">
        <f>IF(C67="", "", IF(C67&gt;=900, "S", IF(C67&gt;=800, "A", IF(C67&gt;=700, "B", IF(C67&gt;=600, "C", IF(C67&gt;=500, "D", "F"))))))</f>
        <v>C</v>
      </c>
      <c r="C67">
        <v>620</v>
      </c>
      <c r="D67" t="str">
        <v>3rd best buffer in the game yet harder to obtain compared to Rhythmclaw.</v>
      </c>
    </row>
    <row r="68">
      <c r="A68" t="str">
        <f>IFERROR(__xludf.DUMMYFUNCTION("""COMPUTED_VALUE"""),"CandyCane")</f>
        <v>CandyCane</v>
      </c>
      <c r="B68" t="str">
        <f>IF(C68="", "", IF(C68&gt;=900, "S", IF(C68&gt;=800, "A", IF(C68&gt;=700, "B", IF(C68&gt;=600, "C", IF(C68&gt;=500, "D", "F"))))))</f>
        <v/>
      </c>
    </row>
    <row r="69">
      <c r="A69" t="str">
        <f>IFERROR(__xludf.DUMMYFUNCTION("""COMPUTED_VALUE"""),"PirateShooter")</f>
        <v>PirateShooter</v>
      </c>
      <c r="B69" t="str">
        <f>IF(C69="", "", IF(C69&gt;=900, "S", IF(C69&gt;=800, "A", IF(C69&gt;=700, "B", IF(C69&gt;=600, "C", IF(C69&gt;=500, "D", "F"))))))</f>
        <v/>
      </c>
    </row>
    <row r="70">
      <c r="A70" t="str">
        <f>IFERROR(__xludf.DUMMYFUNCTION("""COMPUTED_VALUE"""),"Boatswain")</f>
        <v>Boatswain</v>
      </c>
      <c r="B70" t="str">
        <f>IF(C70="", "", IF(C70&gt;=900, "S", IF(C70&gt;=800, "A", IF(C70&gt;=700, "B", IF(C70&gt;=600, "C", IF(C70&gt;=500, "D", "F"))))))</f>
        <v/>
      </c>
    </row>
    <row r="71">
      <c r="A71" t="str">
        <f>IFERROR(__xludf.DUMMYFUNCTION("""COMPUTED_VALUE"""),"PirateSailor")</f>
        <v>PirateSailor</v>
      </c>
      <c r="B71" t="str">
        <f>IF(C71="", "", IF(C71&gt;=900, "S", IF(C71&gt;=800, "A", IF(C71&gt;=700, "B", IF(C71&gt;=600, "C", IF(C71&gt;=500, "D", "F"))))))</f>
        <v/>
      </c>
    </row>
    <row r="72">
      <c r="A72" t="str">
        <f>IFERROR(__xludf.DUMMYFUNCTION("""COMPUTED_VALUE"""),"Vendigo")</f>
        <v>Vendigo</v>
      </c>
      <c r="B72" t="str">
        <f>IF(C72="", "", IF(C72&gt;=900, "S", IF(C72&gt;=800, "A", IF(C72&gt;=700, "B", IF(C72&gt;=600, "C", IF(C72&gt;=500, "D", "F"))))))</f>
        <v>C</v>
      </c>
      <c r="C72">
        <v>670</v>
      </c>
      <c r="D72" t="str">
        <v>A little worse then viperfang and way harder to obtain.</v>
      </c>
    </row>
    <row r="73">
      <c r="A73" t="str">
        <f>IFERROR(__xludf.DUMMYFUNCTION("""COMPUTED_VALUE"""),"SmallHeadlessKnight")</f>
        <v>SmallHeadlessKnight</v>
      </c>
      <c r="B73" t="str">
        <f>IF(C73="", "", IF(C73&gt;=900, "S", IF(C73&gt;=800, "A", IF(C73&gt;=700, "B", IF(C73&gt;=600, "C", IF(C73&gt;=500, "D", "F"))))))</f>
        <v/>
      </c>
    </row>
    <row r="74">
      <c r="A74" t="str">
        <f>IFERROR(__xludf.DUMMYFUNCTION("""COMPUTED_VALUE"""),"Trifang")</f>
        <v>Trifang</v>
      </c>
      <c r="B74" t="str">
        <f>IF(C74="", "", IF(C74&gt;=900, "S", IF(C74&gt;=800, "A", IF(C74&gt;=700, "B", IF(C74&gt;=600, "C", IF(C74&gt;=500, "D", "F"))))))</f>
        <v/>
      </c>
    </row>
    <row r="75">
      <c r="A75" t="str">
        <f>IFERROR(__xludf.DUMMYFUNCTION("""COMPUTED_VALUE"""),"DragonDemon")</f>
        <v>DragonDemon</v>
      </c>
      <c r="B75" t="str">
        <f>IF(C75="", "", IF(C75&gt;=900, "S", IF(C75&gt;=800, "A", IF(C75&gt;=700, "B", IF(C75&gt;=600, "C", IF(C75&gt;=500, "D", "F"))))))</f>
        <v/>
      </c>
    </row>
    <row r="76">
      <c r="A76" t="str">
        <f>IFERROR(__xludf.DUMMYFUNCTION("""COMPUTED_VALUE"""),"CrimsonAssassin")</f>
        <v>CrimsonAssassin</v>
      </c>
      <c r="B76" t="str">
        <f>IF(C76="", "", IF(C76&gt;=900, "S", IF(C76&gt;=800, "A", IF(C76&gt;=700, "B", IF(C76&gt;=600, "C", IF(C76&gt;=500, "D", "F"))))))</f>
        <v/>
      </c>
    </row>
    <row r="77">
      <c r="A77" t="str">
        <f>IFERROR(__xludf.DUMMYFUNCTION("""COMPUTED_VALUE"""),"Viking")</f>
        <v>Viking</v>
      </c>
      <c r="B77" t="str">
        <f>IF(C77="", "", IF(C77&gt;=900, "S", IF(C77&gt;=800, "A", IF(C77&gt;=700, "B", IF(C77&gt;=600, "C", IF(C77&gt;=500, "D", "F"))))))</f>
        <v/>
      </c>
    </row>
    <row r="78">
      <c r="A78" t="str">
        <f>IFERROR(__xludf.DUMMYFUNCTION("""COMPUTED_VALUE"""),"Torturer")</f>
        <v>Torturer</v>
      </c>
      <c r="B78" t="str">
        <f>IF(C78="", "", IF(C78&gt;=900, "S", IF(C78&gt;=800, "A", IF(C78&gt;=700, "B", IF(C78&gt;=600, "C", IF(C78&gt;=500, "D", "F"))))))</f>
        <v/>
      </c>
    </row>
    <row r="79">
      <c r="A79" t="str">
        <f>IFERROR(__xludf.DUMMYFUNCTION("""COMPUTED_VALUE"""),"Rhythmclaw")</f>
        <v>Rhythmclaw</v>
      </c>
      <c r="B79" t="str">
        <f>IF(C79="", "", IF(C79&gt;=900, "S", IF(C79&gt;=800, "A", IF(C79&gt;=700, "B", IF(C79&gt;=600, "C", IF(C79&gt;=500, "D", "F"))))))</f>
        <v>B</v>
      </c>
      <c r="C79">
        <v>740</v>
      </c>
      <c r="D79" t="str">
        <v xml:space="preserve">2nd best buffer in the game. Not needed in the more endgame stages but not as marginally worse compared to triton. Is a good unit to use at any stage of the game though </v>
      </c>
    </row>
    <row r="80">
      <c r="A80" t="str">
        <f>IFERROR(__xludf.DUMMYFUNCTION("""COMPUTED_VALUE"""),"ElvenAssassin")</f>
        <v>ElvenAssassin</v>
      </c>
      <c r="B80" t="str">
        <f>IF(C80="", "", IF(C80&gt;=900, "S", IF(C80&gt;=800, "A", IF(C80&gt;=700, "B", IF(C80&gt;=600, "C", IF(C80&gt;=500, "D", "F"))))))</f>
        <v/>
      </c>
    </row>
    <row r="81">
      <c r="A81" t="str">
        <f>IFERROR(__xludf.DUMMYFUNCTION("""COMPUTED_VALUE"""),"GoblinKingSmall")</f>
        <v>GoblinKingSmall</v>
      </c>
      <c r="B81" t="str">
        <f>IF(C81="", "", IF(C81&gt;=900, "S", IF(C81&gt;=800, "A", IF(C81&gt;=700, "B", IF(C81&gt;=600, "C", IF(C81&gt;=500, "D", "F"))))))</f>
        <v/>
      </c>
    </row>
    <row r="82">
      <c r="A82" t="str">
        <f>IFERROR(__xludf.DUMMYFUNCTION("""COMPUTED_VALUE"""),"SmallPoseidon")</f>
        <v>SmallPoseidon</v>
      </c>
      <c r="B82" t="str">
        <f>IF(C82="", "", IF(C82&gt;=900, "S", IF(C82&gt;=800, "A", IF(C82&gt;=700, "B", IF(C82&gt;=600, "C", IF(C82&gt;=500, "D", "F"))))))</f>
        <v>C</v>
      </c>
      <c r="C82">
        <v>680</v>
      </c>
      <c r="D82" t="str">
        <v>3rd best warrior in the game, possibly the best when the right mod is on him. Similar passives to BD but includes an aoe-splash attack.</v>
      </c>
    </row>
    <row r="83">
      <c r="A83" t="str">
        <f>IFERROR(__xludf.DUMMYFUNCTION("""COMPUTED_VALUE"""),"Medusa")</f>
        <v>Medusa</v>
      </c>
      <c r="B83" t="str">
        <f>IF(C83="", "", IF(C83&gt;=900, "S", IF(C83&gt;=800, "A", IF(C83&gt;=700, "B", IF(C83&gt;=600, "C", IF(C83&gt;=500, "D", "F"))))))</f>
        <v>S</v>
      </c>
      <c r="C83">
        <v>970</v>
      </c>
      <c r="D83" t="str">
        <v>Best ranger to get for most players, fairly reasonable to acquire. Shoots 6 enemies and does one of the highest dps in the game when maxed.</v>
      </c>
    </row>
    <row r="84">
      <c r="A84" t="str">
        <f>IFERROR(__xludf.DUMMYFUNCTION("""COMPUTED_VALUE"""),"KiMaster")</f>
        <v>KiMaster</v>
      </c>
      <c r="B84" t="str">
        <f>IF(C84="", "", IF(C84&gt;=900, "S", IF(C84&gt;=800, "A", IF(C84&gt;=700, "B", IF(C84&gt;=600, "C", IF(C84&gt;=500, "D", "F"))))))</f>
        <v/>
      </c>
    </row>
    <row r="85">
      <c r="A85" t="str">
        <f>IFERROR(__xludf.DUMMYFUNCTION("""COMPUTED_VALUE"""),"DragonSlayer")</f>
        <v>DragonSlayer</v>
      </c>
      <c r="B85" t="str">
        <f>IF(C85="", "", IF(C85&gt;=900, "S", IF(C85&gt;=800, "A", IF(C85&gt;=700, "B", IF(C85&gt;=600, "C", IF(C85&gt;=500, "D", "F"))))))</f>
        <v/>
      </c>
    </row>
    <row r="86">
      <c r="A86" t="str">
        <f>IFERROR(__xludf.DUMMYFUNCTION("""COMPUTED_VALUE"""),"Angel")</f>
        <v>Angel</v>
      </c>
      <c r="B86" t="str">
        <f>IF(C86="", "", IF(C86&gt;=900, "S", IF(C86&gt;=800, "A", IF(C86&gt;=700, "B", IF(C86&gt;=600, "C", IF(C86&gt;=500, "D", "F"))))))</f>
        <v>D</v>
      </c>
      <c r="C86">
        <v>599</v>
      </c>
      <c r="D86" t="str">
        <v xml:space="preserve">Easy obtainable healer. Isn't a very great healer due to only healing one target at a time with low dps because of being mythic </v>
      </c>
    </row>
    <row r="87">
      <c r="A87" t="str">
        <f>IFERROR(__xludf.DUMMYFUNCTION("""COMPUTED_VALUE"""),"DragonBerserker")</f>
        <v>DragonBerserker</v>
      </c>
      <c r="B87" t="str">
        <f>IF(C87="", "", IF(C87&gt;=900, "S", IF(C87&gt;=800, "A", IF(C87&gt;=700, "B", IF(C87&gt;=600, "C", IF(C87&gt;=500, "D", "F"))))))</f>
        <v>D</v>
      </c>
      <c r="C87">
        <v>580</v>
      </c>
      <c r="D87" t="str">
        <v>The 2nd best warrior under mythic right below Sharkman. Very good beserker mode abilty and stats very close in comparison to other warriors mythic and legendary rarity)</v>
      </c>
    </row>
    <row r="88">
      <c r="A88" t="str">
        <f>IFERROR(__xludf.DUMMYFUNCTION("""COMPUTED_VALUE"""),"Cowboy")</f>
        <v>Cowboy</v>
      </c>
      <c r="B88" t="str">
        <f>IF(C88="", "", IF(C88&gt;=900, "S", IF(C88&gt;=800, "A", IF(C88&gt;=700, "B", IF(C88&gt;=600, "C", IF(C88&gt;=500, "D", "F"))))))</f>
        <v/>
      </c>
    </row>
    <row r="89">
      <c r="A89" t="str">
        <f>IFERROR(__xludf.DUMMYFUNCTION("""COMPUTED_VALUE"""),"Viperfang")</f>
        <v>Viperfang</v>
      </c>
      <c r="B89" t="str">
        <f>IF(C89="", "", IF(C89&gt;=900, "S", IF(C89&gt;=800, "A", IF(C89&gt;=700, "B", IF(C89&gt;=600, "C", IF(C89&gt;=500, "D", "F"))))))</f>
        <v>B</v>
      </c>
      <c r="C89">
        <v>720</v>
      </c>
      <c r="D89" t="str">
        <v>Very cheap and great option for an assassin if you don't have Thanatos or ancient vampire. Gap between them is marginally big though. Good early game carry</v>
      </c>
    </row>
    <row r="90">
      <c r="A90" t="str">
        <f>IFERROR(__xludf.DUMMYFUNCTION("""COMPUTED_VALUE"""),"Chaosflare")</f>
        <v>Chaosflare</v>
      </c>
      <c r="B90" t="str">
        <f>IF(C90="", "", IF(C90&gt;=900, "S", IF(C90&gt;=800, "A", IF(C90&gt;=700, "B", IF(C90&gt;=600, "C", IF(C90&gt;=500, "D", "F"))))))</f>
        <v>A</v>
      </c>
      <c r="C90">
        <v>830</v>
      </c>
      <c r="D90" t="str">
        <v>Tanky wizard that outclasses top rangers at lower levels and is fairly easy to obtain. Shines in endless</v>
      </c>
    </row>
    <row r="91">
      <c r="A91" t="str">
        <f>IFERROR(__xludf.DUMMYFUNCTION("""COMPUTED_VALUE"""),"Thanatos")</f>
        <v>Thanatos</v>
      </c>
      <c r="B91" t="str">
        <f>IF(C91="", "", IF(C91&gt;=900, "S", IF(C91&gt;=800, "A", IF(C91&gt;=700, "B", IF(C91&gt;=600, "C", IF(C91&gt;=500, "D", "F"))))))</f>
        <v>S</v>
      </c>
      <c r="C91">
        <v>990</v>
      </c>
      <c r="D91" t="str">
        <v>Best Assassin in the game, high-survivability and damage slightly more HP/damage &amp; slightly lower HP/s than Ancient Vampire. A must-have for crimson nest.</v>
      </c>
    </row>
    <row r="92">
      <c r="A92" t="str">
        <f>IFERROR(__xludf.DUMMYFUNCTION("""COMPUTED_VALUE"""),"Zeus")</f>
        <v>Zeus</v>
      </c>
      <c r="B92" t="str">
        <f>IF(C92="", "", IF(C92&gt;=900, "S", IF(C92&gt;=800, "A", IF(C92&gt;=700, "B", IF(C92&gt;=600, "C", IF(C92&gt;=500, "D", "F"))))))</f>
        <v>S</v>
      </c>
      <c r="C92">
        <v>980</v>
      </c>
      <c r="D92" t="str">
        <v>Best alternative to Chaosflare. High HP, useful as a pseudotank with Titan mod. Very high DPS but lacks projectile speed for fast clear times.</v>
      </c>
    </row>
    <row r="93">
      <c r="A93" t="str">
        <f>IFERROR(__xludf.DUMMYFUNCTION("""COMPUTED_VALUE"""),"DemonicCureflare")</f>
        <v>DemonicCureflare</v>
      </c>
      <c r="B93" t="str">
        <f>IF(C93="", "", IF(C93&gt;=900, "S", IF(C93&gt;=800, "A", IF(C93&gt;=700, "B", IF(C93&gt;=600, "C", IF(C93&gt;=500, "D", "F"))))))</f>
        <v>B</v>
      </c>
      <c r="C93">
        <v>790</v>
      </c>
      <c r="D93" t="str">
        <v>Late game demonic healer from crimson crates that targets two units. Highest dps in the game of a healer but falls short due to no buff and no aoe heals</v>
      </c>
    </row>
    <row r="94">
      <c r="A94" t="str">
        <f>IFERROR(__xludf.DUMMYFUNCTION("""COMPUTED_VALUE"""),"PlagueDoctor")</f>
        <v>PlagueDoctor</v>
      </c>
      <c r="B94" t="str">
        <f>IF(C94="", "", IF(C94&gt;=900, "S", IF(C94&gt;=800, "A", IF(C94&gt;=700, "B", IF(C94&gt;=600, "C", IF(C94&gt;=500, "D", "F"))))))</f>
        <v/>
      </c>
    </row>
    <row r="95">
      <c r="A95" t="str">
        <f>IFERROR(__xludf.DUMMYFUNCTION("""COMPUTED_VALUE"""),"SkeletonSamurai")</f>
        <v>SkeletonSamurai</v>
      </c>
      <c r="B95" t="str">
        <f>IF(C95="", "", IF(C95&gt;=900, "S", IF(C95&gt;=800, "A", IF(C95&gt;=700, "B", IF(C95&gt;=600, "C", IF(C95&gt;=500, "D", "F"))))))</f>
        <v/>
      </c>
    </row>
    <row r="96">
      <c r="A96" t="str">
        <f>IFERROR(__xludf.DUMMYFUNCTION("""COMPUTED_VALUE"""),"HeadlessKnight")</f>
        <v>HeadlessKnight</v>
      </c>
      <c r="B96" t="str">
        <f>IF(C96="", "", IF(C96&gt;=900, "S", IF(C96&gt;=800, "A", IF(C96&gt;=700, "B", IF(C96&gt;=600, "C", IF(C96&gt;=500, "D", "F"))))))</f>
        <v>S</v>
      </c>
      <c r="C96">
        <v>900</v>
      </c>
      <c r="D96" t="str">
        <v>Heals the whole team, buffs damage and atkrate by 30%. BEST end-game healer with Lightning and a team with high sustain.</v>
      </c>
    </row>
    <row r="97">
      <c r="A97" t="str">
        <f>IFERROR(__xludf.DUMMYFUNCTION("""COMPUTED_VALUE"""),"Marksman")</f>
        <v>Marksman</v>
      </c>
      <c r="B97" t="str">
        <f>IF(C97="", "", IF(C97&gt;=900, "S", IF(C97&gt;=800, "A", IF(C97&gt;=700, "B", IF(C97&gt;=600, "C", IF(C97&gt;=500, "D", "F"))))))</f>
        <v>F</v>
      </c>
      <c r="C97">
        <v>1</v>
      </c>
      <c r="D97" t="str">
        <v>This Is A Boss Unit (Unobtainable)</v>
      </c>
    </row>
    <row r="98">
      <c r="A98" t="str">
        <f>IFERROR(__xludf.DUMMYFUNCTION("""COMPUTED_VALUE"""),"Surfer")</f>
        <v>Surfer</v>
      </c>
      <c r="B98" t="str">
        <f>IF(C98="", "", IF(C98&gt;=900, "S", IF(C98&gt;=800, "A", IF(C98&gt;=700, "B", IF(C98&gt;=600, "C", IF(C98&gt;=500, "D", "F"))))))</f>
        <v>F</v>
      </c>
      <c r="C98">
        <v>480</v>
      </c>
      <c r="D98" t="str">
        <v>Extremely slow attack rate, better legendary and epic options at the ranged unit position that even easier to obtain</v>
      </c>
    </row>
    <row r="99">
      <c r="A99" t="str">
        <f>IFERROR(__xludf.DUMMYFUNCTION("""COMPUTED_VALUE"""),"PirateSailorShooter")</f>
        <v>PirateSailorShooter</v>
      </c>
      <c r="B99" t="str">
        <f>IF(C99="", "", IF(C99&gt;=900, "S", IF(C99&gt;=800, "A", IF(C99&gt;=700, "B", IF(C99&gt;=600, "C", IF(C99&gt;=500, "D", "F"))))))</f>
        <v>D</v>
      </c>
      <c r="C99">
        <v>530</v>
      </c>
      <c r="D99" t="str">
        <v>A golden knight with a little more hp and a stun</v>
      </c>
    </row>
    <row r="100">
      <c r="A100" t="str">
        <f>IFERROR(__xludf.DUMMYFUNCTION("""COMPUTED_VALUE"""),"CursedMagician")</f>
        <v>CursedMagician</v>
      </c>
      <c r="B100" t="str">
        <f>IF(C100="", "", IF(C100&gt;=900, "S", IF(C100&gt;=800, "A", IF(C100&gt;=700, "B", IF(C100&gt;=600, "C", IF(C100&gt;=500, "D", "F"))))))</f>
        <v/>
      </c>
    </row>
    <row r="101">
      <c r="A101" t="str">
        <f>IFERROR(__xludf.DUMMYFUNCTION("""COMPUTED_VALUE"""),"SeaDevil")</f>
        <v>SeaDevil</v>
      </c>
      <c r="B101" t="str">
        <f>IF(C101="", "", IF(C101&gt;=900, "S", IF(C101&gt;=800, "A", IF(C101&gt;=700, "B", IF(C101&gt;=600, "C", IF(C101&gt;=500, "D", "F"))))))</f>
        <v/>
      </c>
    </row>
    <row r="102">
      <c r="A102" t="str">
        <f>IFERROR(__xludf.DUMMYFUNCTION("""COMPUTED_VALUE"""),"Ent")</f>
        <v>Ent</v>
      </c>
      <c r="B102" t="str">
        <f>IF(C102="", "", IF(C102&gt;=900, "S", IF(C102&gt;=800, "A", IF(C102&gt;=700, "B", IF(C102&gt;=600, "C", IF(C102&gt;=500, "D", "F"))))))</f>
        <v>C</v>
      </c>
      <c r="C102">
        <v>690</v>
      </c>
      <c r="D102" t="str">
        <v xml:space="preserve">Best pre demonic tank option you can have with good damage reflect,a bit of range and healing per hit </v>
      </c>
    </row>
    <row r="103">
      <c r="A103" t="str">
        <f>IFERROR(__xludf.DUMMYFUNCTION("""COMPUTED_VALUE"""),"Zombie")</f>
        <v>Zombie</v>
      </c>
      <c r="B103" t="str">
        <f>IF(C103="", "", IF(C103&gt;=900, "S", IF(C103&gt;=800, "A", IF(C103&gt;=700, "B", IF(C103&gt;=600, "C", IF(C103&gt;=500, "D", "F"))))))</f>
        <v>F</v>
      </c>
      <c r="C103">
        <v>1</v>
      </c>
      <c r="D103" t="str">
        <v>This Is A Boss Unit (Unobtainable)</v>
      </c>
    </row>
    <row r="104">
      <c r="A104" t="str">
        <f>IFERROR(__xludf.DUMMYFUNCTION("""COMPUTED_VALUE"""),"Noob")</f>
        <v>Noob</v>
      </c>
      <c r="B104" t="str">
        <f>IF(C104="", "", IF(C104&gt;=900, "S", IF(C104&gt;=800, "A", IF(C104&gt;=700, "B", IF(C104&gt;=600, "C", IF(C104&gt;=500, "D", "F"))))))</f>
        <v/>
      </c>
    </row>
    <row r="105">
      <c r="A105" t="str">
        <f>IFERROR(__xludf.DUMMYFUNCTION("""COMPUTED_VALUE"""),"Necromancer")</f>
        <v>Necromancer</v>
      </c>
      <c r="B105" t="str">
        <f>IF(C105="", "", IF(C105&gt;=900, "S", IF(C105&gt;=800, "A", IF(C105&gt;=700, "B", IF(C105&gt;=600, "C", IF(C105&gt;=500, "D", "F"))))))</f>
        <v>F</v>
      </c>
      <c r="C105">
        <v>2</v>
      </c>
      <c r="D105" t="str">
        <v>Trash until lvl 21</v>
      </c>
    </row>
    <row r="106">
      <c r="A106" t="str">
        <f>IFERROR(__xludf.DUMMYFUNCTION("""COMPUTED_VALUE"""),"AncientVampire")</f>
        <v>AncientVampire</v>
      </c>
      <c r="B106" t="str">
        <f>IF(C106="", "", IF(C106&gt;=900, "S", IF(C106&gt;=800, "A", IF(C106&gt;=700, "B", IF(C106&gt;=600, "C", IF(C106&gt;=500, "D", "F"))))))</f>
        <v/>
      </c>
    </row>
    <row r="107">
      <c r="A107" t="str">
        <f>IFERROR(__xludf.DUMMYFUNCTION("""COMPUTED_VALUE"""),"ChristmasElfSwordman")</f>
        <v>ChristmasElfSwordman</v>
      </c>
      <c r="B107" t="str">
        <f>IF(C107="", "", IF(C107&gt;=900, "S", IF(C107&gt;=800, "A", IF(C107&gt;=700, "B", IF(C107&gt;=600, "C", IF(C107&gt;=500, "D", "F"))))))</f>
        <v>S</v>
      </c>
      <c r="C107">
        <v>995</v>
      </c>
      <c r="D107" t="str">
        <v>Best Assassin in the game, high-survivability and damage. A must-have for crimson nest. (Untradeable)</v>
      </c>
    </row>
    <row r="108">
      <c r="A108" t="str">
        <f>IFERROR(__xludf.DUMMYFUNCTION("""COMPUTED_VALUE"""),"Ninja")</f>
        <v>Ninja</v>
      </c>
      <c r="B108" t="str">
        <f>IF(C108="", "", IF(C108&gt;=900, "S", IF(C108&gt;=800, "A", IF(C108&gt;=700, "B", IF(C108&gt;=600, "C", IF(C108&gt;=500, "D", "F"))))))</f>
        <v/>
      </c>
    </row>
    <row r="109">
      <c r="A109" t="str">
        <f>IFERROR(__xludf.DUMMYFUNCTION("""COMPUTED_VALUE"""),"CageMan")</f>
        <v>CageMan</v>
      </c>
      <c r="B109" t="str">
        <f>IF(C109="", "", IF(C109&gt;=900, "S", IF(C109&gt;=800, "A", IF(C109&gt;=700, "B", IF(C109&gt;=600, "C", IF(C109&gt;=500, "D", "F"))))))</f>
        <v/>
      </c>
    </row>
    <row r="110">
      <c r="A110" t="str">
        <f>IFERROR(__xludf.DUMMYFUNCTION("""COMPUTED_VALUE"""),"DwarfTank")</f>
        <v>DwarfTank</v>
      </c>
      <c r="B110" t="str">
        <f>IF(C110="", "", IF(C110&gt;=900, "S", IF(C110&gt;=800, "A", IF(C110&gt;=700, "B", IF(C110&gt;=600, "C", IF(C110&gt;=500, "D", "F"))))))</f>
        <v/>
      </c>
    </row>
    <row r="111">
      <c r="A111" t="str">
        <f>IFERROR(__xludf.DUMMYFUNCTION("""COMPUTED_VALUE"""),"EntSmall")</f>
        <v>EntSmall</v>
      </c>
      <c r="B111" t="str">
        <f>IF(C111="", "", IF(C111&gt;=900, "S", IF(C111&gt;=800, "A", IF(C111&gt;=700, "B", IF(C111&gt;=600, "C", IF(C111&gt;=500, "D", "F"))))))</f>
        <v>C</v>
      </c>
      <c r="C111">
        <v>670</v>
      </c>
      <c r="D111" t="str">
        <v>Out of the eleven crate a slightly tankier golden knight</v>
      </c>
    </row>
    <row r="112">
      <c r="A112" t="str">
        <f>IFERROR(__xludf.DUMMYFUNCTION("""COMPUTED_VALUE"""),"Demolitionist")</f>
        <v>Demolitionist</v>
      </c>
      <c r="B112" t="str">
        <f>IF(C112="", "", IF(C112&gt;=900, "S", IF(C112&gt;=800, "A", IF(C112&gt;=700, "B", IF(C112&gt;=600, "C", IF(C112&gt;=500, "D", "F"))))))</f>
        <v>C</v>
      </c>
      <c r="C112">
        <v>650</v>
      </c>
      <c r="D112" t="str">
        <v>Very good pre demonic level tank option.</v>
      </c>
    </row>
    <row r="113">
      <c r="A113" t="str">
        <f>IFERROR(__xludf.DUMMYFUNCTION("""COMPUTED_VALUE"""),"EarthWizard")</f>
        <v>EarthWizard</v>
      </c>
      <c r="B113" t="str">
        <f>IF(C113="", "", IF(C113&gt;=900, "S", IF(C113&gt;=800, "A", IF(C113&gt;=700, "B", IF(C113&gt;=600, "C", IF(C113&gt;=500, "D", "F"))))))</f>
        <v/>
      </c>
    </row>
    <row r="114">
      <c r="A114" t="str">
        <f>IFERROR(__xludf.DUMMYFUNCTION("""COMPUTED_VALUE"""),"CrossbowMan")</f>
        <v>CrossbowMan</v>
      </c>
      <c r="B114" t="str">
        <f>IF(C114="", "", IF(C114&gt;=900, "S", IF(C114&gt;=800, "A", IF(C114&gt;=700, "B", IF(C114&gt;=600, "C", IF(C114&gt;=500, "D", "F"))))))</f>
        <v/>
      </c>
    </row>
    <row r="115">
      <c r="A115" t="str">
        <f>IFERROR(__xludf.DUMMYFUNCTION("""COMPUTED_VALUE"""),"Ghoul")</f>
        <v>Ghoul</v>
      </c>
      <c r="B115" t="str">
        <f>IF(C115="", "", IF(C115&gt;=900, "S", IF(C115&gt;=800, "A", IF(C115&gt;=700, "B", IF(C115&gt;=600, "C", IF(C115&gt;=500, "D", "F"))))))</f>
        <v/>
      </c>
    </row>
    <row r="116">
      <c r="A116" t="str">
        <f>IFERROR(__xludf.DUMMYFUNCTION("""COMPUTED_VALUE"""),"SpookyGhost")</f>
        <v>SpookyGhost</v>
      </c>
      <c r="B116" t="str">
        <f>IF(C116="", "", IF(C116&gt;=900, "S", IF(C116&gt;=800, "A", IF(C116&gt;=700, "B", IF(C116&gt;=600, "C", IF(C116&gt;=500, "D", "F"))))))</f>
        <v/>
      </c>
    </row>
    <row r="117">
      <c r="A117" t="str">
        <f>IFERROR(__xludf.DUMMYFUNCTION("""COMPUTED_VALUE"""),"SkeletonTank")</f>
        <v>SkeletonTank</v>
      </c>
      <c r="B117" t="str">
        <f>IF(C117="", "", IF(C117&gt;=900, "S", IF(C117&gt;=800, "A", IF(C117&gt;=700, "B", IF(C117&gt;=600, "C", IF(C117&gt;=500, "D", "F"))))))</f>
        <v/>
      </c>
    </row>
    <row r="118">
      <c r="A118" t="str">
        <f>IFERROR(__xludf.DUMMYFUNCTION("""COMPUTED_VALUE"""),"DragonKnight")</f>
        <v>DragonKnight</v>
      </c>
      <c r="B118" t="str">
        <f>IF(C118="", "", IF(C118&gt;=900, "S", IF(C118&gt;=800, "A", IF(C118&gt;=700, "B", IF(C118&gt;=600, "C", IF(C118&gt;=500, "D", "F"))))))</f>
        <v/>
      </c>
    </row>
    <row r="119">
      <c r="A119" t="str">
        <f>IFERROR(__xludf.DUMMYFUNCTION("""COMPUTED_VALUE"""),"ChristmasElfArcher")</f>
        <v>ChristmasElfArcher</v>
      </c>
      <c r="B119" t="str">
        <f>IF(C119="", "", IF(C119&gt;=900, "S", IF(C119&gt;=800, "A", IF(C119&gt;=700, "B", IF(C119&gt;=600, "C", IF(C119&gt;=500, "D", "F"))))))</f>
        <v>D</v>
      </c>
      <c r="C119">
        <v>535</v>
      </c>
      <c r="D119" t="str">
        <v>Golden knight with a little more hp and a heal on hit and slight damage reflect</v>
      </c>
    </row>
    <row r="120">
      <c r="A120" t="str">
        <f>IFERROR(__xludf.DUMMYFUNCTION("""COMPUTED_VALUE"""),"MadScientist")</f>
        <v>MadScientist</v>
      </c>
      <c r="B120" t="str">
        <f>IF(C120="", "", IF(C120&gt;=900, "S", IF(C120&gt;=800, "A", IF(C120&gt;=700, "B", IF(C120&gt;=600, "C", IF(C120&gt;=500, "D", "F"))))))</f>
        <v/>
      </c>
    </row>
    <row r="121">
      <c r="A121" t="str">
        <f>IFERROR(__xludf.DUMMYFUNCTION("""COMPUTED_VALUE"""),"SkeletonWarrior")</f>
        <v>SkeletonWarrior</v>
      </c>
      <c r="B121" t="str">
        <f>IF(C121="", "", IF(C121&gt;=900, "S", IF(C121&gt;=800, "A", IF(C121&gt;=700, "B", IF(C121&gt;=600, "C", IF(C121&gt;=500, "D", "F"))))))</f>
        <v/>
      </c>
    </row>
    <row r="122">
      <c r="A122" t="str">
        <f>IFERROR(__xludf.DUMMYFUNCTION("""COMPUTED_VALUE"""),"Samurai")</f>
        <v>Samurai</v>
      </c>
      <c r="B122" t="str">
        <f>IF(C122="", "", IF(C122&gt;=900, "S", IF(C122&gt;=800, "A", IF(C122&gt;=700, "B", IF(C122&gt;=600, "C", IF(C122&gt;=500, "D", "F"))))))</f>
        <v/>
      </c>
    </row>
    <row r="123">
      <c r="A123" t="str">
        <f>IFERROR(__xludf.DUMMYFUNCTION("""COMPUTED_VALUE"""),"BabyGoblinArcher")</f>
        <v>BabyGoblinArcher</v>
      </c>
      <c r="B123" t="str">
        <f>IF(C123="", "", IF(C123&gt;=900, "S", IF(C123&gt;=800, "A", IF(C123&gt;=700, "B", IF(C123&gt;=600, "C", IF(C123&gt;=500, "D", "F"))))))</f>
        <v/>
      </c>
    </row>
    <row r="124">
      <c r="A124" t="str">
        <f>IFERROR(__xludf.DUMMYFUNCTION("""COMPUTED_VALUE"""),"PirateCaptain")</f>
        <v>PirateCaptain</v>
      </c>
      <c r="B124" t="str">
        <f>IF(C124="", "", IF(C124&gt;=900, "S", IF(C124&gt;=800, "A", IF(C124&gt;=700, "B", IF(C124&gt;=600, "C", IF(C124&gt;=500, "D", "F"))))))</f>
        <v/>
      </c>
    </row>
    <row r="125">
      <c r="A125" t="str">
        <f>IFERROR(__xludf.DUMMYFUNCTION("""COMPUTED_VALUE"""),"PoolPartyBlaster")</f>
        <v>PoolPartyBlaster</v>
      </c>
      <c r="B125" t="str">
        <f>IF(C125="", "", IF(C125&gt;=900, "S", IF(C125&gt;=800, "A", IF(C125&gt;=700, "B", IF(C125&gt;=600, "C", IF(C125&gt;=500, "D", "F"))))))</f>
        <v/>
      </c>
    </row>
    <row r="126">
      <c r="A126" t="str">
        <f>IFERROR(__xludf.DUMMYFUNCTION("""COMPUTED_VALUE"""),"Sniper")</f>
        <v>Sniper</v>
      </c>
      <c r="B126" t="str">
        <f>IF(C126="", "", IF(C126&gt;=900, "S", IF(C126&gt;=800, "A", IF(C126&gt;=700, "B", IF(C126&gt;=600, "C", IF(C126&gt;=500, "D", "F"))))))</f>
        <v/>
      </c>
    </row>
    <row r="127">
      <c r="A127" t="str">
        <f>IFERROR(__xludf.DUMMYFUNCTION("""COMPUTED_VALUE"""),"NoobThrower")</f>
        <v>NoobThrower</v>
      </c>
      <c r="B127" t="str">
        <f>IF(C127="", "", IF(C127&gt;=900, "S", IF(C127&gt;=800, "A", IF(C127&gt;=700, "B", IF(C127&gt;=600, "C", IF(C127&gt;=500, "D", "F"))))))</f>
        <v/>
      </c>
    </row>
    <row r="128">
      <c r="A128" t="str">
        <f>IFERROR(__xludf.DUMMYFUNCTION("""COMPUTED_VALUE"""),"Alchemist")</f>
        <v>Alchemist</v>
      </c>
      <c r="B128" t="str">
        <f>IF(C128="", "", IF(C128&gt;=900, "S", IF(C128&gt;=800, "A", IF(C128&gt;=700, "B", IF(C128&gt;=600, "C", IF(C128&gt;=500, "D", "F"))))))</f>
        <v>F</v>
      </c>
      <c r="C128">
        <v>1</v>
      </c>
      <c r="D128" t="str">
        <v>worse than Noob, because it doesn't even get the lvl 21 benefit</v>
      </c>
    </row>
    <row r="129">
      <c r="A129" t="str">
        <f>IFERROR(__xludf.DUMMYFUNCTION("""COMPUTED_VALUE"""),"Cryomancer")</f>
        <v>Cryomancer</v>
      </c>
      <c r="B129" t="str">
        <f>IF(C129="", "", IF(C129&gt;=900, "S", IF(C129&gt;=800, "A", IF(C129&gt;=700, "B", IF(C129&gt;=600, "C", IF(C129&gt;=500, "D", "F"))))))</f>
        <v>D</v>
      </c>
      <c r="C129">
        <v>570</v>
      </c>
      <c r="D129" t="str">
        <v xml:space="preserve">Weaker version of bartender but a good healer/buff option </v>
      </c>
    </row>
    <row r="130">
      <c r="A130" t="str">
        <f>IFERROR(__xludf.DUMMYFUNCTION("""COMPUTED_VALUE"""),"DeadCannoneer")</f>
        <v>DeadCannoneer</v>
      </c>
      <c r="B130" t="str">
        <f>IF(C130="", "", IF(C130&gt;=900, "S", IF(C130&gt;=800, "A", IF(C130&gt;=700, "B", IF(C130&gt;=600, "C", IF(C130&gt;=500, "D", "F"))))))</f>
        <v/>
      </c>
    </row>
    <row r="131">
      <c r="A131" t="str">
        <f>IFERROR(__xludf.DUMMYFUNCTION("""COMPUTED_VALUE"""),"GoblinWarrior")</f>
        <v>GoblinWarrior</v>
      </c>
      <c r="B131" t="str">
        <f>IF(C131="", "", IF(C131&gt;=900, "S", IF(C131&gt;=800, "A", IF(C131&gt;=700, "B", IF(C131&gt;=600, "C", IF(C131&gt;=500, "D", "F"))))))</f>
        <v/>
      </c>
    </row>
    <row r="132">
      <c r="A132" t="str">
        <f>IFERROR(__xludf.DUMMYFUNCTION("""COMPUTED_VALUE"""),"TheAdmiralSmall")</f>
        <v>TheAdmiralSmall</v>
      </c>
      <c r="B132" t="str">
        <f>IF(C132="", "", IF(C132&gt;=900, "S", IF(C132&gt;=800, "A", IF(C132&gt;=700, "B", IF(C132&gt;=600, "C", IF(C132&gt;=500, "D", "F"))))))</f>
        <v/>
      </c>
    </row>
    <row r="133">
      <c r="A133" t="str">
        <f>IFERROR(__xludf.DUMMYFUNCTION("""COMPUTED_VALUE"""),"LivingArmor")</f>
        <v>LivingArmor</v>
      </c>
      <c r="B133" t="str">
        <f>IF(C133="", "", IF(C133&gt;=900, "S", IF(C133&gt;=800, "A", IF(C133&gt;=700, "B", IF(C133&gt;=600, "C", IF(C133&gt;=500, "D", "F"))))))</f>
        <v/>
      </c>
    </row>
    <row r="134">
      <c r="A134" t="str">
        <f>IFERROR(__xludf.DUMMYFUNCTION("""COMPUTED_VALUE"""),"SmallAncientVampire")</f>
        <v>SmallAncientVampire</v>
      </c>
      <c r="B134" t="str">
        <f>IF(C134="", "", IF(C134&gt;=900, "S", IF(C134&gt;=800, "A", IF(C134&gt;=700, "B", IF(C134&gt;=600, "C", IF(C134&gt;=500, "D", "F"))))))</f>
        <v/>
      </c>
    </row>
    <row r="135">
      <c r="A135" t="str">
        <f>IFERROR(__xludf.DUMMYFUNCTION("""COMPUTED_VALUE"""),"LivingMummy")</f>
        <v>LivingMummy</v>
      </c>
      <c r="B135" t="str">
        <f>IF(C135="", "", IF(C135&gt;=900, "S", IF(C135&gt;=800, "A", IF(C135&gt;=700, "B", IF(C135&gt;=600, "C", IF(C135&gt;=500, "D", "F"))))))</f>
        <v>S</v>
      </c>
      <c r="C135">
        <v>995</v>
      </c>
      <c r="D135" t="str">
        <v>Best Assassin in the game, high-survivability and damage. A must-have for crimson nest.</v>
      </c>
    </row>
    <row r="136">
      <c r="A136" t="str">
        <f>IFERROR(__xludf.DUMMYFUNCTION("""COMPUTED_VALUE"""),"Warrior")</f>
        <v>Warrior</v>
      </c>
      <c r="B136" t="str">
        <f>IF(C136="", "", IF(C136&gt;=900, "S", IF(C136&gt;=800, "A", IF(C136&gt;=700, "B", IF(C136&gt;=600, "C", IF(C136&gt;=500, "D", "F"))))))</f>
        <v>D</v>
      </c>
      <c r="C136">
        <v>525</v>
      </c>
      <c r="D136" t="str">
        <v>Golden knight with a heal on hit</v>
      </c>
    </row>
    <row r="137">
      <c r="A137" t="str">
        <f>IFERROR(__xludf.DUMMYFUNCTION("""COMPUTED_VALUE"""),"FrostWizard")</f>
        <v>FrostWizard</v>
      </c>
      <c r="B137" t="str">
        <f>IF(C137="", "", IF(C137&gt;=900, "S", IF(C137&gt;=800, "A", IF(C137&gt;=700, "B", IF(C137&gt;=600, "C", IF(C137&gt;=500, "D", "F"))))))</f>
        <v/>
      </c>
    </row>
    <row r="138">
      <c r="A138" t="str">
        <f>IFERROR(__xludf.DUMMYFUNCTION("""COMPUTED_VALUE"""),"InfernoArcher")</f>
        <v>InfernoArcher</v>
      </c>
      <c r="B138" t="str">
        <f>IF(C138="", "", IF(C138&gt;=900, "S", IF(C138&gt;=800, "A", IF(C138&gt;=700, "B", IF(C138&gt;=600, "C", IF(C138&gt;=500, "D", "F"))))))</f>
        <v/>
      </c>
    </row>
    <row r="139">
      <c r="A139" t="str">
        <f>IFERROR(__xludf.DUMMYFUNCTION("""COMPUTED_VALUE"""),"Jack")</f>
        <v>Jack</v>
      </c>
      <c r="B139" t="str">
        <f>IF(C139="", "", IF(C139&gt;=900, "S", IF(C139&gt;=800, "A", IF(C139&gt;=700, "B", IF(C139&gt;=600, "C", IF(C139&gt;=500, "D", "F"))))))</f>
        <v>C</v>
      </c>
      <c r="C139">
        <v>690</v>
      </c>
      <c r="D139" t="str">
        <v>Mostly dominates in PvP. Marginally worse then Chaosflare and Medusa. VERY useful unit for Headless/Boss fights.</v>
      </c>
    </row>
    <row r="140">
      <c r="A140" t="str">
        <f>IFERROR(__xludf.DUMMYFUNCTION("""COMPUTED_VALUE"""),"Bomber")</f>
        <v>Bomber</v>
      </c>
      <c r="B140" t="str">
        <f>IF(C140="", "", IF(C140&gt;=900, "S", IF(C140&gt;=800, "A", IF(C140&gt;=700, "B", IF(C140&gt;=600, "C", IF(C140&gt;=500, "D", "F"))))))</f>
        <v>F</v>
      </c>
      <c r="C140">
        <v>490</v>
      </c>
      <c r="D140" t="str">
        <v>WORST berserker-type demonic, outclassed by many different iterations of itself.</v>
      </c>
    </row>
    <row r="141">
      <c r="A141" t="str">
        <f>IFERROR(__xludf.DUMMYFUNCTION("""COMPUTED_VALUE"""),"PirateMedic")</f>
        <v>PirateMedic</v>
      </c>
      <c r="B141" t="str">
        <f>IF(C141="", "", IF(C141&gt;=900, "S", IF(C141&gt;=800, "A", IF(C141&gt;=700, "B", IF(C141&gt;=600, "C", IF(C141&gt;=500, "D", "F"))))))</f>
        <v/>
      </c>
    </row>
    <row r="142">
      <c r="A142" t="str">
        <f>IFERROR(__xludf.DUMMYFUNCTION("""COMPUTED_VALUE"""),"GoldenKnight")</f>
        <v>GoldenKnight</v>
      </c>
      <c r="B142" t="str">
        <f>IF(C142="", "", IF(C142&gt;=900, "S", IF(C142&gt;=800, "A", IF(C142&gt;=700, "B", IF(C142&gt;=600, "C", IF(C142&gt;=500, "D", "F"))))))</f>
        <v/>
      </c>
    </row>
    <row r="143">
      <c r="A143" t="str">
        <f>IFERROR(__xludf.DUMMYFUNCTION("""COMPUTED_VALUE"""),"Spartan")</f>
        <v>Spartan</v>
      </c>
      <c r="B143" t="str">
        <f>IF(C143="", "", IF(C143&gt;=900, "S", IF(C143&gt;=800, "A", IF(C143&gt;=700, "B", IF(C143&gt;=600, "C", IF(C143&gt;=500, "D", "F"))))))</f>
        <v>D</v>
      </c>
      <c r="C143">
        <v>520</v>
      </c>
      <c r="D143" t="str">
        <v>Reliable tank,easy to obtain from crates at the legendary rarity.</v>
      </c>
    </row>
    <row r="144">
      <c r="A144" t="str">
        <f>IFERROR(__xludf.DUMMYFUNCTION("""COMPUTED_VALUE"""),"YukiOnna")</f>
        <v>YukiOnna</v>
      </c>
      <c r="B144" t="str">
        <f>IF(C144="", "", IF(C144&gt;=900, "S", IF(C144&gt;=800, "A", IF(C144&gt;=700, "B", IF(C144&gt;=600, "C", IF(C144&gt;=500, "D", "F"))))))</f>
        <v/>
      </c>
    </row>
    <row r="145">
      <c r="A145" t="str">
        <f>IFERROR(__xludf.DUMMYFUNCTION("""COMPUTED_VALUE"""),"Druid")</f>
        <v>Druid</v>
      </c>
      <c r="B145" t="str">
        <f>IF(C145="", "", IF(C145&gt;=900, "S", IF(C145&gt;=800, "A", IF(C145&gt;=700, "B", IF(C145&gt;=600, "C", IF(C145&gt;=500, "D", "F"))))))</f>
        <v>C</v>
      </c>
      <c r="C145">
        <v>680</v>
      </c>
      <c r="D145" t="str">
        <v>Best single target/piercing frost debuffer, marginal upgrade to Ice Queen. Hinders enemy tanks/warriors heavily.</v>
      </c>
    </row>
    <row r="146">
      <c r="A146" t="str">
        <f>IFERROR(__xludf.DUMMYFUNCTION("""COMPUTED_VALUE"""),"Beachcomber")</f>
        <v>Beachcomber</v>
      </c>
      <c r="B146" t="str">
        <f>IF(C146="", "", IF(C146&gt;=900, "S", IF(C146&gt;=800, "A", IF(C146&gt;=700, "B", IF(C146&gt;=600, "C", IF(C146&gt;=500, "D", "F"))))))</f>
        <v/>
      </c>
    </row>
    <row r="147">
      <c r="A147" t="str">
        <f>IFERROR(__xludf.DUMMYFUNCTION("""COMPUTED_VALUE"""),"Therapist")</f>
        <v>Therapist</v>
      </c>
      <c r="B147" t="str">
        <f>IF(C147="", "", IF(C147&gt;=900, "S", IF(C147&gt;=800, "A", IF(C147&gt;=700, "B", IF(C147&gt;=600, "C", IF(C147&gt;=500, "D", "F"))))))</f>
        <v/>
      </c>
    </row>
    <row r="148">
      <c r="A148" t="str">
        <f>IFERROR(__xludf.DUMMYFUNCTION("""COMPUTED_VALUE"""),"SaintNicholas")</f>
        <v>SaintNicholas</v>
      </c>
      <c r="B148" t="str">
        <f>IF(C148="", "", IF(C148&gt;=900, "S", IF(C148&gt;=800, "A", IF(C148&gt;=700, "B", IF(C148&gt;=600, "C", IF(C148&gt;=500, "D", "F"))))))</f>
        <v/>
      </c>
    </row>
    <row r="149">
      <c r="A149" t="str">
        <f>IFERROR(__xludf.DUMMYFUNCTION("""COMPUTED_VALUE"""),"TheReaperSmall")</f>
        <v>TheReaperSmall</v>
      </c>
      <c r="B149" t="str">
        <f>IF(C149="", "", IF(C149&gt;=900, "S", IF(C149&gt;=800, "A", IF(C149&gt;=700, "B", IF(C149&gt;=600, "C", IF(C149&gt;=500, "D", "F"))))))</f>
        <v>S</v>
      </c>
      <c r="C149">
        <v>999</v>
      </c>
      <c r="D149" t="str">
        <v>Heals the whole team, buffs damage by 22%</v>
      </c>
    </row>
    <row r="150">
      <c r="A150" t="str">
        <f>IFERROR(__xludf.DUMMYFUNCTION("""COMPUTED_VALUE"""),"BattleWizard")</f>
        <v>BattleWizard</v>
      </c>
      <c r="B150" t="str">
        <f>IF(C150="", "", IF(C150&gt;=900, "S", IF(C150&gt;=800, "A", IF(C150&gt;=700, "B", IF(C150&gt;=600, "C", IF(C150&gt;=500, "D", "F"))))))</f>
        <v/>
      </c>
    </row>
    <row r="151">
      <c r="A151" t="str">
        <f>IFERROR(__xludf.DUMMYFUNCTION("""COMPUTED_VALUE"""),"SkeletonArcher")</f>
        <v>SkeletonArcher</v>
      </c>
      <c r="B151" t="str">
        <f>IF(C151="", "", IF(C151&gt;=900, "S", IF(C151&gt;=800, "A", IF(C151&gt;=700, "B", IF(C151&gt;=600, "C", IF(C151&gt;=500, "D", "F"))))))</f>
        <v/>
      </c>
    </row>
    <row r="152">
      <c r="A152" t="str">
        <f>IFERROR(__xludf.DUMMYFUNCTION("""COMPUTED_VALUE"""),"NoobSmall(Summon)")</f>
        <v>NoobSmall(Summon)</v>
      </c>
      <c r="B152" t="str">
        <f>IF(C152="", "", IF(C152&gt;=900, "S", IF(C152&gt;=800, "A", IF(C152&gt;=700, "B", IF(C152&gt;=600, "C", IF(C152&gt;=500, "D", "F"))))))</f>
        <v/>
      </c>
    </row>
    <row r="153">
      <c r="A153" t="str">
        <f>IFERROR(__xludf.DUMMYFUNCTION("""COMPUTED_VALUE"""),"Jolasveinar(Summon)")</f>
        <v>Jolasveinar(Summon)</v>
      </c>
      <c r="B153" t="str">
        <f>IF(C153="", "", IF(C153&gt;=900, "S", IF(C153&gt;=800, "A", IF(C153&gt;=700, "B", IF(C153&gt;=600, "C", IF(C153&gt;=500, "D", "F"))))))</f>
        <v>F</v>
      </c>
      <c r="C153">
        <v>2</v>
      </c>
      <c r="D153" t="str">
        <v>same as reg noob</v>
      </c>
    </row>
    <row r="154">
      <c r="A154" t="str">
        <f>IFERROR(__xludf.DUMMYFUNCTION("""COMPUTED_VALUE"""),"NecromancerWarrior(Summon)")</f>
        <v>NecromancerWarrior(Summon)</v>
      </c>
      <c r="B154" t="str">
        <f>IF(C154="", "", IF(C154&gt;=900, "S", IF(C154&gt;=800, "A", IF(C154&gt;=700, "B", IF(C154&gt;=600, "C", IF(C154&gt;=500, "D", "F"))))))</f>
        <v/>
      </c>
    </row>
    <row r="155">
      <c r="A155" t="str">
        <f>IFERROR(__xludf.DUMMYFUNCTION("""COMPUTED_VALUE"""),"SummonerBattleWizard(Summon)")</f>
        <v>SummonerBattleWizard(Summon)</v>
      </c>
      <c r="B155" t="str">
        <f>IF(C155="", "", IF(C155&gt;=900, "S", IF(C155&gt;=800, "A", IF(C155&gt;=700, "B", IF(C155&gt;=600, "C", IF(C155&gt;=500, "D", "F"))))))</f>
        <v>F</v>
      </c>
      <c r="C155">
        <v>1</v>
      </c>
      <c r="D155" t="str">
        <v>garbage summon</v>
      </c>
    </row>
    <row r="156">
      <c r="A156" t="str">
        <f>IFERROR(__xludf.DUMMYFUNCTION("""COMPUTED_VALUE"""),"NecromancerArcher(Summon)")</f>
        <v>NecromancerArcher(Summon)</v>
      </c>
      <c r="B156" t="str">
        <f>IF(C156="", "", IF(C156&gt;=900, "S", IF(C156&gt;=800, "A", IF(C156&gt;=700, "B", IF(C156&gt;=600, "C", IF(C156&gt;=500, "D", "F"))))))</f>
        <v/>
      </c>
    </row>
    <row r="157">
      <c r="B157" t="str">
        <f>IF(C157="", "", IF(C157&gt;=900, "S", IF(C157&gt;=800, "A", IF(C157&gt;=700, "B", IF(C157&gt;=600, "C", IF(C157&gt;=500, "D", "F"))))))</f>
        <v>F</v>
      </c>
      <c r="C157">
        <v>2</v>
      </c>
    </row>
    <row r="158">
      <c r="B158" t="str">
        <f>IF(C158="", "", IF(C158&gt;=900, "S", IF(C158&gt;=800, "A", IF(C158&gt;=700, "B", IF(C158&gt;=600, "C", IF(C158&gt;=500, "D", "F"))))))</f>
        <v/>
      </c>
    </row>
    <row r="159">
      <c r="B159" t="str">
        <f>IF(C159="", "", IF(C159&gt;=900, "S", IF(C159&gt;=800, "A", IF(C159&gt;=700, "B", IF(C159&gt;=600, "C", IF(C159&gt;=500, "D", "F"))))))</f>
        <v/>
      </c>
    </row>
    <row r="160">
      <c r="B160" t="str">
        <f>IF(C160="", "", IF(C160&gt;=900, "S", IF(C160&gt;=800, "A", IF(C160&gt;=700, "B", IF(C160&gt;=600, "C", IF(C160&gt;=500, "D", "F"))))))</f>
        <v/>
      </c>
    </row>
    <row r="161">
      <c r="B161" t="str">
        <f>IF(C161="", "", IF(C161&gt;=900, "S", IF(C161&gt;=800, "A", IF(C161&gt;=700, "B", IF(C161&gt;=600, "C", IF(C161&gt;=500, "D", "F"))))))</f>
        <v/>
      </c>
    </row>
    <row r="162">
      <c r="B162" t="str">
        <f>IF(C162="", "", IF(C162&gt;=900, "S", IF(C162&gt;=800, "A", IF(C162&gt;=700, "B", IF(C162&gt;=600, "C", IF(C162&gt;=500, "D", "F"))))))</f>
        <v/>
      </c>
    </row>
    <row r="163">
      <c r="B163" t="str">
        <f>IF(C163="", "", IF(C163&gt;=900, "S", IF(C163&gt;=800, "A", IF(C163&gt;=700, "B", IF(C163&gt;=600, "C", IF(C163&gt;=500, "D", "F"))))))</f>
        <v/>
      </c>
    </row>
    <row r="164">
      <c r="B164" t="str">
        <f>IF(C164="", "", IF(C164&gt;=900, "S", IF(C164&gt;=800, "A", IF(C164&gt;=700, "B", IF(C164&gt;=600, "C", IF(C164&gt;=500, "D", "F"))))))</f>
        <v/>
      </c>
    </row>
    <row r="165">
      <c r="B165" t="str">
        <f>IF(C165="", "", IF(C165&gt;=900, "S", IF(C165&gt;=800, "A", IF(C165&gt;=700, "B", IF(C165&gt;=600, "C", IF(C165&gt;=500, "D", "F"))))))</f>
        <v/>
      </c>
    </row>
    <row r="166">
      <c r="B166" t="str">
        <f>IF(C166="", "", IF(C166&gt;=900, "S", IF(C166&gt;=800, "A", IF(C166&gt;=700, "B", IF(C166&gt;=600, "C", IF(C166&gt;=500, "D", "F"))))))</f>
        <v/>
      </c>
    </row>
    <row r="167">
      <c r="B167" t="str">
        <f>IF(C167="", "", IF(C167&gt;=900, "S", IF(C167&gt;=800, "A", IF(C167&gt;=700, "B", IF(C167&gt;=600, "C", IF(C167&gt;=500, "D", "F"))))))</f>
        <v/>
      </c>
    </row>
    <row r="168">
      <c r="B168" t="str">
        <f>IF(C168="", "", IF(C168&gt;=900, "S", IF(C168&gt;=800, "A", IF(C168&gt;=700, "B", IF(C168&gt;=600, "C", IF(C168&gt;=500, "D", "F"))))))</f>
        <v/>
      </c>
    </row>
    <row r="169">
      <c r="B169" t="str">
        <f>IF(C169="", "", IF(C169&gt;=900, "S", IF(C169&gt;=800, "A", IF(C169&gt;=700, "B", IF(C169&gt;=600, "C", IF(C169&gt;=500, "D", "F"))))))</f>
        <v/>
      </c>
    </row>
    <row r="170">
      <c r="B170" t="str">
        <f>IF(C170="", "", IF(C170&gt;=900, "S", IF(C170&gt;=800, "A", IF(C170&gt;=700, "B", IF(C170&gt;=600, "C", IF(C170&gt;=500, "D", "F"))))))</f>
        <v/>
      </c>
    </row>
    <row r="171">
      <c r="B171" t="str">
        <f>IF(C171="", "", IF(C171&gt;=900, "S", IF(C171&gt;=800, "A", IF(C171&gt;=700, "B", IF(C171&gt;=600, "C", IF(C171&gt;=500, "D", "F"))))))</f>
        <v/>
      </c>
    </row>
    <row r="172">
      <c r="B172" t="str">
        <f>IF(C172="", "", IF(C172&gt;=900, "S", IF(C172&gt;=800, "A", IF(C172&gt;=700, "B", IF(C172&gt;=600, "C", IF(C172&gt;=500, "D", "F"))))))</f>
        <v/>
      </c>
    </row>
    <row r="173">
      <c r="B173" t="str">
        <f>IF(C173="", "", IF(C173&gt;=900, "S", IF(C173&gt;=800, "A", IF(C173&gt;=700, "B", IF(C173&gt;=600, "C", IF(C173&gt;=500, "D", "F"))))))</f>
        <v/>
      </c>
    </row>
    <row r="174">
      <c r="B174" t="str">
        <f>IF(C174="", "", IF(C174&gt;=900, "S", IF(C174&gt;=800, "A", IF(C174&gt;=700, "B", IF(C174&gt;=600, "C", IF(C174&gt;=500, "D", "F"))))))</f>
        <v/>
      </c>
    </row>
    <row r="175">
      <c r="B175" t="str">
        <f>IF(C175="", "", IF(C175&gt;=900, "S", IF(C175&gt;=800, "A", IF(C175&gt;=700, "B", IF(C175&gt;=600, "C", IF(C175&gt;=500, "D", "F"))))))</f>
        <v/>
      </c>
    </row>
    <row r="176">
      <c r="B176" t="str">
        <f>IF(C176="", "", IF(C176&gt;=900, "S", IF(C176&gt;=800, "A", IF(C176&gt;=700, "B", IF(C176&gt;=600, "C", IF(C176&gt;=500, "D", "F"))))))</f>
        <v/>
      </c>
    </row>
    <row r="177">
      <c r="B177" t="str">
        <f>IF(C177="", "", IF(C177&gt;=900, "S", IF(C177&gt;=800, "A", IF(C177&gt;=700, "B", IF(C177&gt;=600, "C", IF(C177&gt;=500, "D", "F"))))))</f>
        <v/>
      </c>
    </row>
    <row r="178">
      <c r="B178" t="str">
        <f>IF(C178="", "", IF(C178&gt;=900, "S", IF(C178&gt;=800, "A", IF(C178&gt;=700, "B", IF(C178&gt;=600, "C", IF(C178&gt;=500, "D", "F"))))))</f>
        <v/>
      </c>
    </row>
    <row r="179">
      <c r="B179" t="str">
        <f>IF(C179="", "", IF(C179&gt;=900, "S", IF(C179&gt;=800, "A", IF(C179&gt;=700, "B", IF(C179&gt;=600, "C", IF(C179&gt;=500, "D", "F"))))))</f>
        <v/>
      </c>
    </row>
    <row r="180">
      <c r="B180" t="str">
        <f>IF(C180="", "", IF(C180&gt;=900, "S", IF(C180&gt;=800, "A", IF(C180&gt;=700, "B", IF(C180&gt;=600, "C", IF(C180&gt;=500, "D", "F"))))))</f>
        <v/>
      </c>
    </row>
    <row r="181">
      <c r="B181" t="str">
        <f>IF(C181="", "", IF(C181&gt;=900, "S", IF(C181&gt;=800, "A", IF(C181&gt;=700, "B", IF(C181&gt;=600, "C", IF(C181&gt;=500, "D", "F"))))))</f>
        <v/>
      </c>
    </row>
    <row r="182">
      <c r="B182" t="str">
        <f>IF(C182="", "", IF(C182&gt;=900, "S", IF(C182&gt;=800, "A", IF(C182&gt;=700, "B", IF(C182&gt;=600, "C", IF(C182&gt;=500, "D", "F"))))))</f>
        <v/>
      </c>
    </row>
    <row r="183">
      <c r="B183" t="str">
        <f>IF(C183="", "", IF(C183&gt;=900, "S", IF(C183&gt;=800, "A", IF(C183&gt;=700, "B", IF(C183&gt;=600, "C", IF(C183&gt;=500, "D", "F"))))))</f>
        <v/>
      </c>
    </row>
    <row r="184">
      <c r="B184" t="str">
        <f>IF(C184="", "", IF(C184&gt;=900, "S", IF(C184&gt;=800, "A", IF(C184&gt;=700, "B", IF(C184&gt;=600, "C", IF(C184&gt;=500, "D", "F"))))))</f>
        <v/>
      </c>
    </row>
    <row r="185">
      <c r="B185" t="str">
        <f>IF(C185="", "", IF(C185&gt;=900, "S", IF(C185&gt;=800, "A", IF(C185&gt;=700, "B", IF(C185&gt;=600, "C", IF(C185&gt;=500, "D", "F"))))))</f>
        <v/>
      </c>
    </row>
    <row r="186">
      <c r="B186" t="str">
        <f>IF(C186="", "", IF(C186&gt;=900, "S", IF(C186&gt;=800, "A", IF(C186&gt;=700, "B", IF(C186&gt;=600, "C", IF(C186&gt;=500, "D", "F"))))))</f>
        <v/>
      </c>
    </row>
    <row r="187">
      <c r="B187" t="str">
        <f>IF(C187="", "", IF(C187&gt;=900, "S", IF(C187&gt;=800, "A", IF(C187&gt;=700, "B", IF(C187&gt;=600, "C", IF(C187&gt;=500, "D", "F"))))))</f>
        <v/>
      </c>
    </row>
    <row r="188">
      <c r="B188" t="str">
        <f>IF(C188="", "", IF(C188&gt;=900, "S", IF(C188&gt;=800, "A", IF(C188&gt;=700, "B", IF(C188&gt;=600, "C", IF(C188&gt;=500, "D", "F"))))))</f>
        <v/>
      </c>
    </row>
    <row r="189">
      <c r="B189" t="str">
        <f>IF(C189="", "", IF(C189&gt;=900, "S", IF(C189&gt;=800, "A", IF(C189&gt;=700, "B", IF(C189&gt;=600, "C", IF(C189&gt;=500, "D", "F"))))))</f>
        <v/>
      </c>
    </row>
    <row r="190">
      <c r="B190" t="str">
        <f>IF(C190="", "", IF(C190&gt;=900, "S", IF(C190&gt;=800, "A", IF(C190&gt;=700, "B", IF(C190&gt;=600, "C", IF(C190&gt;=500, "D", "F"))))))</f>
        <v/>
      </c>
    </row>
    <row r="191">
      <c r="B191" t="str">
        <f>IF(C191="", "", IF(C191&gt;=900, "S", IF(C191&gt;=800, "A", IF(C191&gt;=700, "B", IF(C191&gt;=600, "C", IF(C191&gt;=500, "D", "F"))))))</f>
        <v/>
      </c>
    </row>
    <row r="192">
      <c r="B192" t="str">
        <f>IF(C192="", "", IF(C192&gt;=900, "S", IF(C192&gt;=800, "A", IF(C192&gt;=700, "B", IF(C192&gt;=600, "C", IF(C192&gt;=500, "D", "F"))))))</f>
        <v/>
      </c>
    </row>
    <row r="193">
      <c r="B193" t="str">
        <f>IF(C193="", "", IF(C193&gt;=900, "S", IF(C193&gt;=800, "A", IF(C193&gt;=700, "B", IF(C193&gt;=600, "C", IF(C193&gt;=500, "D", "F"))))))</f>
        <v/>
      </c>
    </row>
    <row r="194">
      <c r="B194" t="str">
        <f>IF(C194="", "", IF(C194&gt;=900, "S", IF(C194&gt;=800, "A", IF(C194&gt;=700, "B", IF(C194&gt;=600, "C", IF(C194&gt;=500, "D", "F"))))))</f>
        <v/>
      </c>
    </row>
    <row r="195">
      <c r="B195" t="str">
        <f>IF(C195="", "", IF(C195&gt;=900, "S", IF(C195&gt;=800, "A", IF(C195&gt;=700, "B", IF(C195&gt;=600, "C", IF(C195&gt;=500, "D", "F"))))))</f>
        <v/>
      </c>
    </row>
    <row r="196">
      <c r="B196" t="str">
        <f>IF(C196="", "", IF(C196&gt;=900, "S", IF(C196&gt;=800, "A", IF(C196&gt;=700, "B", IF(C196&gt;=600, "C", IF(C196&gt;=500, "D", "F"))))))</f>
        <v/>
      </c>
    </row>
    <row r="197">
      <c r="B197" t="str">
        <f>IF(C197="", "", IF(C197&gt;=900, "S", IF(C197&gt;=800, "A", IF(C197&gt;=700, "B", IF(C197&gt;=600, "C", IF(C197&gt;=500, "D", "F"))))))</f>
        <v/>
      </c>
    </row>
    <row r="198">
      <c r="B198" t="str">
        <f>IF(C198="", "", IF(C198&gt;=900, "S", IF(C198&gt;=800, "A", IF(C198&gt;=700, "B", IF(C198&gt;=600, "C", IF(C198&gt;=500, "D", "F"))))))</f>
        <v/>
      </c>
    </row>
    <row r="199">
      <c r="B199" t="str">
        <f>IF(C199="", "", IF(C199&gt;=900, "S", IF(C199&gt;=800, "A", IF(C199&gt;=700, "B", IF(C199&gt;=600, "C", IF(C199&gt;=500, "D", "F"))))))</f>
        <v/>
      </c>
    </row>
    <row r="200">
      <c r="B200" t="str">
        <f>IF(C200="", "", IF(C200&gt;=900, "S", IF(C200&gt;=800, "A", IF(C200&gt;=700, "B", IF(C200&gt;=600, "C", IF(C200&gt;=500, "D", "F"))))))</f>
        <v/>
      </c>
    </row>
    <row r="201">
      <c r="B201" t="str">
        <f>IF(C201="", "", IF(C201&gt;=900, "S", IF(C201&gt;=800, "A", IF(C201&gt;=700, "B", IF(C201&gt;=600, "C", IF(C201&gt;=500, "D", "F"))))))</f>
        <v/>
      </c>
    </row>
    <row r="202">
      <c r="B202" t="str">
        <f>IF(C202="", "", IF(C202&gt;=900, "S", IF(C202&gt;=800, "A", IF(C202&gt;=700, "B", IF(C202&gt;=600, "C", IF(C202&gt;=500, "D", "F"))))))</f>
        <v/>
      </c>
    </row>
    <row r="203">
      <c r="B203" t="str">
        <f>IF(C203="", "", IF(C203&gt;=900, "S", IF(C203&gt;=800, "A", IF(C203&gt;=700, "B", IF(C203&gt;=600, "C", IF(C203&gt;=500, "D", "F"))))))</f>
        <v/>
      </c>
    </row>
    <row r="204">
      <c r="B204" t="str">
        <f>IF(C204="", "", IF(C204&gt;=900, "S", IF(C204&gt;=800, "A", IF(C204&gt;=700, "B", IF(C204&gt;=600, "C", IF(C204&gt;=500, "D", "F"))))))</f>
        <v/>
      </c>
    </row>
    <row r="205">
      <c r="B205" t="str">
        <f>IF(C205="", "", IF(C205&gt;=900, "S", IF(C205&gt;=800, "A", IF(C205&gt;=700, "B", IF(C205&gt;=600, "C", IF(C205&gt;=500, "D", "F"))))))</f>
        <v/>
      </c>
    </row>
    <row r="206">
      <c r="B206" t="str">
        <f>IF(C206="", "", IF(C206&gt;=900, "S", IF(C206&gt;=800, "A", IF(C206&gt;=700, "B", IF(C206&gt;=600, "C", IF(C206&gt;=500, "D", "F"))))))</f>
        <v/>
      </c>
    </row>
    <row r="207">
      <c r="B207" t="str">
        <f>IF(C207="", "", IF(C207&gt;=900, "S", IF(C207&gt;=800, "A", IF(C207&gt;=700, "B", IF(C207&gt;=600, "C", IF(C207&gt;=500, "D", "F"))))))</f>
        <v/>
      </c>
    </row>
    <row r="208">
      <c r="B208" t="str">
        <f>IF(C208="", "", IF(C208&gt;=900, "S", IF(C208&gt;=800, "A", IF(C208&gt;=700, "B", IF(C208&gt;=600, "C", IF(C208&gt;=500, "D", "F"))))))</f>
        <v/>
      </c>
    </row>
    <row r="209">
      <c r="B209" t="str">
        <f>IF(C209="", "", IF(C209&gt;=900, "S", IF(C209&gt;=800, "A", IF(C209&gt;=700, "B", IF(C209&gt;=600, "C", IF(C209&gt;=500, "D", "F"))))))</f>
        <v/>
      </c>
    </row>
    <row r="210">
      <c r="B210" t="str">
        <f>IF(C210="", "", IF(C210&gt;=900, "S", IF(C210&gt;=800, "A", IF(C210&gt;=700, "B", IF(C210&gt;=600, "C", IF(C210&gt;=500, "D", "F"))))))</f>
        <v/>
      </c>
    </row>
    <row r="211">
      <c r="B211" t="str">
        <f>IF(C211="", "", IF(C211&gt;=900, "S", IF(C211&gt;=800, "A", IF(C211&gt;=700, "B", IF(C211&gt;=600, "C", IF(C211&gt;=500, "D", "F"))))))</f>
        <v/>
      </c>
    </row>
    <row r="212">
      <c r="B212" t="str">
        <f>IF(C212="", "", IF(C212&gt;=900, "S", IF(C212&gt;=800, "A", IF(C212&gt;=700, "B", IF(C212&gt;=600, "C", IF(C212&gt;=500, "D", "F"))))))</f>
        <v/>
      </c>
    </row>
    <row r="213">
      <c r="B213" t="str">
        <f>IF(C213="", "", IF(C213&gt;=900, "S", IF(C213&gt;=800, "A", IF(C213&gt;=700, "B", IF(C213&gt;=600, "C", IF(C213&gt;=500, "D", "F"))))))</f>
        <v/>
      </c>
    </row>
    <row r="214">
      <c r="B214" t="str">
        <f>IF(C214="", "", IF(C214&gt;=900, "S", IF(C214&gt;=800, "A", IF(C214&gt;=700, "B", IF(C214&gt;=600, "C", IF(C214&gt;=500, "D", "F"))))))</f>
        <v/>
      </c>
    </row>
    <row r="215">
      <c r="B215" t="str">
        <f>IF(C215="", "", IF(C215&gt;=900, "S", IF(C215&gt;=800, "A", IF(C215&gt;=700, "B", IF(C215&gt;=600, "C", IF(C215&gt;=500, "D", "F"))))))</f>
        <v/>
      </c>
    </row>
    <row r="216">
      <c r="B216" t="str">
        <f>IF(C216="", "", IF(C216&gt;=900, "S", IF(C216&gt;=800, "A", IF(C216&gt;=700, "B", IF(C216&gt;=600, "C", IF(C216&gt;=500, "D", "F"))))))</f>
        <v/>
      </c>
    </row>
    <row r="217">
      <c r="B217" t="str">
        <f>IF(C217="", "", IF(C217&gt;=900, "S", IF(C217&gt;=800, "A", IF(C217&gt;=700, "B", IF(C217&gt;=600, "C", IF(C217&gt;=500, "D", "F"))))))</f>
        <v/>
      </c>
    </row>
    <row r="218">
      <c r="B218" t="str">
        <f>IF(C218="", "", IF(C218&gt;=900, "S", IF(C218&gt;=800, "A", IF(C218&gt;=700, "B", IF(C218&gt;=600, "C", IF(C218&gt;=500, "D", "F"))))))</f>
        <v/>
      </c>
    </row>
    <row r="219">
      <c r="B219" t="str">
        <f>IF(C219="", "", IF(C219&gt;=900, "S", IF(C219&gt;=800, "A", IF(C219&gt;=700, "B", IF(C219&gt;=600, "C", IF(C219&gt;=500, "D", "F"))))))</f>
        <v/>
      </c>
    </row>
    <row r="220">
      <c r="B220" t="str">
        <f>IF(C220="", "", IF(C220&gt;=900, "S", IF(C220&gt;=800, "A", IF(C220&gt;=700, "B", IF(C220&gt;=600, "C", IF(C220&gt;=500, "D", "F"))))))</f>
        <v/>
      </c>
    </row>
    <row r="221">
      <c r="B221" t="str">
        <f>IF(C221="", "", IF(C221&gt;=900, "S", IF(C221&gt;=800, "A", IF(C221&gt;=700, "B", IF(C221&gt;=600, "C", IF(C221&gt;=500, "D", "F"))))))</f>
        <v/>
      </c>
    </row>
    <row r="222">
      <c r="B222" t="str">
        <f>IF(C222="", "", IF(C222&gt;=900, "S", IF(C222&gt;=800, "A", IF(C222&gt;=700, "B", IF(C222&gt;=600, "C", IF(C222&gt;=500, "D", "F"))))))</f>
        <v/>
      </c>
    </row>
    <row r="223">
      <c r="B223" t="str">
        <f>IF(C223="", "", IF(C223&gt;=900, "S", IF(C223&gt;=800, "A", IF(C223&gt;=700, "B", IF(C223&gt;=600, "C", IF(C223&gt;=500, "D", "F"))))))</f>
        <v/>
      </c>
    </row>
    <row r="224">
      <c r="B224" t="str">
        <f>IF(C224="", "", IF(C224&gt;=900, "S", IF(C224&gt;=800, "A", IF(C224&gt;=700, "B", IF(C224&gt;=600, "C", IF(C224&gt;=500, "D", "F"))))))</f>
        <v/>
      </c>
    </row>
    <row r="225">
      <c r="B225" t="str">
        <f>IF(C225="", "", IF(C225&gt;=900, "S", IF(C225&gt;=800, "A", IF(C225&gt;=700, "B", IF(C225&gt;=600, "C", IF(C225&gt;=500, "D", "F"))))))</f>
        <v/>
      </c>
    </row>
    <row r="226">
      <c r="B226" t="str">
        <f>IF(C226="", "", IF(C226&gt;=900, "S", IF(C226&gt;=800, "A", IF(C226&gt;=700, "B", IF(C226&gt;=600, "C", IF(C226&gt;=500, "D", "F"))))))</f>
        <v/>
      </c>
    </row>
    <row r="227">
      <c r="B227" t="str">
        <f>IF(C227="", "", IF(C227&gt;=900, "S", IF(C227&gt;=800, "A", IF(C227&gt;=700, "B", IF(C227&gt;=600, "C", IF(C227&gt;=500, "D", "F"))))))</f>
        <v/>
      </c>
    </row>
    <row r="228">
      <c r="B228" t="str">
        <f>IF(C228="", "", IF(C228&gt;=900, "S", IF(C228&gt;=800, "A", IF(C228&gt;=700, "B", IF(C228&gt;=600, "C", IF(C228&gt;=500, "D", "F"))))))</f>
        <v/>
      </c>
    </row>
    <row r="229">
      <c r="B229" t="str">
        <f>IF(C229="", "", IF(C229&gt;=900, "S", IF(C229&gt;=800, "A", IF(C229&gt;=700, "B", IF(C229&gt;=600, "C", IF(C229&gt;=500, "D", "F"))))))</f>
        <v/>
      </c>
    </row>
    <row r="230">
      <c r="B230" t="str">
        <f>IF(C230="", "", IF(C230&gt;=900, "S", IF(C230&gt;=800, "A", IF(C230&gt;=700, "B", IF(C230&gt;=600, "C", IF(C230&gt;=500, "D", "F"))))))</f>
        <v/>
      </c>
    </row>
    <row r="231">
      <c r="B231" t="str">
        <f>IF(C231="", "", IF(C231&gt;=900, "S", IF(C231&gt;=800, "A", IF(C231&gt;=700, "B", IF(C231&gt;=600, "C", IF(C231&gt;=500, "D", "F"))))))</f>
        <v/>
      </c>
    </row>
    <row r="232">
      <c r="B232" t="str">
        <f>IF(C232="", "", IF(C232&gt;=900, "S", IF(C232&gt;=800, "A", IF(C232&gt;=700, "B", IF(C232&gt;=600, "C", IF(C232&gt;=500, "D", "F"))))))</f>
        <v/>
      </c>
    </row>
    <row r="233">
      <c r="B233" t="str">
        <f>IF(C233="", "", IF(C233&gt;=900, "S", IF(C233&gt;=800, "A", IF(C233&gt;=700, "B", IF(C233&gt;=600, "C", IF(C233&gt;=500, "D", "F"))))))</f>
        <v/>
      </c>
    </row>
    <row r="234">
      <c r="B234" t="str">
        <f>IF(C234="", "", IF(C234&gt;=900, "S", IF(C234&gt;=800, "A", IF(C234&gt;=700, "B", IF(C234&gt;=600, "C", IF(C234&gt;=500, "D", "F"))))))</f>
        <v/>
      </c>
    </row>
    <row r="235">
      <c r="B235" t="str">
        <f>IF(C235="", "", IF(C235&gt;=900, "S", IF(C235&gt;=800, "A", IF(C235&gt;=700, "B", IF(C235&gt;=600, "C", IF(C235&gt;=500, "D", "F"))))))</f>
        <v/>
      </c>
    </row>
    <row r="236">
      <c r="B236" t="str">
        <f>IF(C236="", "", IF(C236&gt;=900, "S", IF(C236&gt;=800, "A", IF(C236&gt;=700, "B", IF(C236&gt;=600, "C", IF(C236&gt;=500, "D", "F"))))))</f>
        <v/>
      </c>
    </row>
    <row r="237">
      <c r="B237" t="str">
        <f>IF(C237="", "", IF(C237&gt;=900, "S", IF(C237&gt;=800, "A", IF(C237&gt;=700, "B", IF(C237&gt;=600, "C", IF(C237&gt;=500, "D", "F"))))))</f>
        <v/>
      </c>
    </row>
    <row r="238">
      <c r="B238" t="str">
        <f>IF(C238="", "", IF(C238&gt;=900, "S", IF(C238&gt;=800, "A", IF(C238&gt;=700, "B", IF(C238&gt;=600, "C", IF(C238&gt;=500, "D", "F"))))))</f>
        <v/>
      </c>
    </row>
    <row r="239">
      <c r="B239" t="str">
        <f>IF(C239="", "", IF(C239&gt;=900, "S", IF(C239&gt;=800, "A", IF(C239&gt;=700, "B", IF(C239&gt;=600, "C", IF(C239&gt;=500, "D", "F"))))))</f>
        <v/>
      </c>
    </row>
    <row r="240">
      <c r="B240" t="str">
        <f>IF(C240="", "", IF(C240&gt;=900, "S", IF(C240&gt;=800, "A", IF(C240&gt;=700, "B", IF(C240&gt;=600, "C", IF(C240&gt;=500, "D", "F"))))))</f>
        <v/>
      </c>
    </row>
    <row r="241">
      <c r="B241" t="str">
        <f>IF(C241="", "", IF(C241&gt;=900, "S", IF(C241&gt;=800, "A", IF(C241&gt;=700, "B", IF(C241&gt;=600, "C", IF(C241&gt;=500, "D", "F"))))))</f>
        <v/>
      </c>
    </row>
    <row r="242">
      <c r="B242" t="str">
        <f>IF(C242="", "", IF(C242&gt;=900, "S", IF(C242&gt;=800, "A", IF(C242&gt;=700, "B", IF(C242&gt;=600, "C", IF(C242&gt;=500, "D", "F"))))))</f>
        <v/>
      </c>
    </row>
    <row r="243">
      <c r="B243" t="str">
        <f>IF(C243="", "", IF(C243&gt;=900, "S", IF(C243&gt;=800, "A", IF(C243&gt;=700, "B", IF(C243&gt;=600, "C", IF(C243&gt;=500, "D", "F"))))))</f>
        <v/>
      </c>
    </row>
    <row r="244">
      <c r="B244" t="str">
        <f>IF(C244="", "", IF(C244&gt;=900, "S", IF(C244&gt;=800, "A", IF(C244&gt;=700, "B", IF(C244&gt;=600, "C", IF(C244&gt;=500, "D", "F"))))))</f>
        <v/>
      </c>
    </row>
    <row r="245">
      <c r="B245" t="str">
        <f>IF(C245="", "", IF(C245&gt;=900, "S", IF(C245&gt;=800, "A", IF(C245&gt;=700, "B", IF(C245&gt;=600, "C", IF(C245&gt;=500, "D", "F"))))))</f>
        <v/>
      </c>
    </row>
    <row r="246">
      <c r="B246" t="str">
        <f>IF(C246="", "", IF(C246&gt;=900, "S", IF(C246&gt;=800, "A", IF(C246&gt;=700, "B", IF(C246&gt;=600, "C", IF(C246&gt;=500, "D", "F"))))))</f>
        <v/>
      </c>
    </row>
    <row r="247">
      <c r="B247" t="str">
        <f>IF(C247="", "", IF(C247&gt;=900, "S", IF(C247&gt;=800, "A", IF(C247&gt;=700, "B", IF(C247&gt;=600, "C", IF(C247&gt;=500, "D", "F"))))))</f>
        <v/>
      </c>
    </row>
    <row r="248">
      <c r="B248" t="str">
        <f>IF(C248="", "", IF(C248&gt;=900, "S", IF(C248&gt;=800, "A", IF(C248&gt;=700, "B", IF(C248&gt;=600, "C", IF(C248&gt;=500, "D", "F"))))))</f>
        <v/>
      </c>
    </row>
    <row r="249">
      <c r="B249" t="str">
        <f>IF(C249="", "", IF(C249&gt;=900, "S", IF(C249&gt;=800, "A", IF(C249&gt;=700, "B", IF(C249&gt;=600, "C", IF(C249&gt;=500, "D", "F"))))))</f>
        <v/>
      </c>
    </row>
    <row r="250">
      <c r="B250" t="str">
        <f>IF(C250="", "", IF(C250&gt;=900, "S", IF(C250&gt;=800, "A", IF(C250&gt;=700, "B", IF(C250&gt;=600, "C", IF(C250&gt;=500, "D", "F"))))))</f>
        <v/>
      </c>
    </row>
    <row r="251">
      <c r="B251" t="str">
        <f>IF(C251="", "", IF(C251&gt;=900, "S", IF(C251&gt;=800, "A", IF(C251&gt;=700, "B", IF(C251&gt;=600, "C", IF(C251&gt;=500, "D", "F"))))))</f>
        <v/>
      </c>
    </row>
    <row r="252">
      <c r="B252" t="str">
        <f>IF(C252="", "", IF(C252&gt;=900, "S", IF(C252&gt;=800, "A", IF(C252&gt;=700, "B", IF(C252&gt;=600, "C", IF(C252&gt;=500, "D", "F"))))))</f>
        <v/>
      </c>
    </row>
    <row r="253">
      <c r="B253" t="str">
        <f>IF(C253="", "", IF(C253&gt;=900, "S", IF(C253&gt;=800, "A", IF(C253&gt;=700, "B", IF(C253&gt;=600, "C", IF(C253&gt;=500, "D", "F"))))))</f>
        <v/>
      </c>
    </row>
    <row r="254">
      <c r="B254" t="str">
        <f>IF(C254="", "", IF(C254&gt;=900, "S", IF(C254&gt;=800, "A", IF(C254&gt;=700, "B", IF(C254&gt;=600, "C", IF(C254&gt;=500, "D", "F"))))))</f>
        <v/>
      </c>
    </row>
    <row r="255">
      <c r="B255" t="str">
        <f>IF(C255="", "", IF(C255&gt;=900, "S", IF(C255&gt;=800, "A", IF(C255&gt;=700, "B", IF(C255&gt;=600, "C", IF(C255&gt;=500, "D", "F"))))))</f>
        <v/>
      </c>
    </row>
    <row r="256">
      <c r="B256" t="str">
        <f>IF(C256="", "", IF(C256&gt;=900, "S", IF(C256&gt;=800, "A", IF(C256&gt;=700, "B", IF(C256&gt;=600, "C", IF(C256&gt;=500, "D", "F"))))))</f>
        <v/>
      </c>
    </row>
    <row r="257">
      <c r="B257" t="str">
        <f>IF(C257="", "", IF(C257&gt;=900, "S", IF(C257&gt;=800, "A", IF(C257&gt;=700, "B", IF(C257&gt;=600, "C", IF(C257&gt;=500, "D", "F"))))))</f>
        <v/>
      </c>
    </row>
    <row r="258">
      <c r="B258" t="str">
        <f>IF(C258="", "", IF(C258&gt;=900, "S", IF(C258&gt;=800, "A", IF(C258&gt;=700, "B", IF(C258&gt;=600, "C", IF(C258&gt;=500, "D", "F"))))))</f>
        <v/>
      </c>
    </row>
    <row r="259">
      <c r="B259" t="str">
        <f>IF(C259="", "", IF(C259&gt;=900, "S", IF(C259&gt;=800, "A", IF(C259&gt;=700, "B", IF(C259&gt;=600, "C", IF(C259&gt;=500, "D", "F"))))))</f>
        <v/>
      </c>
    </row>
    <row r="260">
      <c r="B260" t="str">
        <f>IF(C260="", "", IF(C260&gt;=900, "S", IF(C260&gt;=800, "A", IF(C260&gt;=700, "B", IF(C260&gt;=600, "C", IF(C260&gt;=500, "D", "F"))))))</f>
        <v/>
      </c>
    </row>
    <row r="261">
      <c r="B261" t="str">
        <f>IF(C261="", "", IF(C261&gt;=900, "S", IF(C261&gt;=800, "A", IF(C261&gt;=700, "B", IF(C261&gt;=600, "C", IF(C261&gt;=500, "D", "F"))))))</f>
        <v/>
      </c>
    </row>
    <row r="262">
      <c r="B262" t="str">
        <f>IF(C262="", "", IF(C262&gt;=900, "S", IF(C262&gt;=800, "A", IF(C262&gt;=700, "B", IF(C262&gt;=600, "C", IF(C262&gt;=500, "D", "F"))))))</f>
        <v/>
      </c>
    </row>
    <row r="263">
      <c r="B263" t="str">
        <f>IF(C263="", "", IF(C263&gt;=900, "S", IF(C263&gt;=800, "A", IF(C263&gt;=700, "B", IF(C263&gt;=600, "C", IF(C263&gt;=500, "D", "F"))))))</f>
        <v/>
      </c>
    </row>
    <row r="264">
      <c r="B264" t="str">
        <f>IF(C264="", "", IF(C264&gt;=900, "S", IF(C264&gt;=800, "A", IF(C264&gt;=700, "B", IF(C264&gt;=600, "C", IF(C264&gt;=500, "D", "F"))))))</f>
        <v/>
      </c>
    </row>
    <row r="265">
      <c r="B265" t="str">
        <f>IF(C265="", "", IF(C265&gt;=900, "S", IF(C265&gt;=800, "A", IF(C265&gt;=700, "B", IF(C265&gt;=600, "C", IF(C265&gt;=500, "D", "F"))))))</f>
        <v/>
      </c>
    </row>
    <row r="266">
      <c r="B266" t="str">
        <f>IF(C266="", "", IF(C266&gt;=900, "S", IF(C266&gt;=800, "A", IF(C266&gt;=700, "B", IF(C266&gt;=600, "C", IF(C266&gt;=500, "D", "F"))))))</f>
        <v/>
      </c>
    </row>
    <row r="267">
      <c r="B267" t="str">
        <f>IF(C267="", "", IF(C267&gt;=900, "S", IF(C267&gt;=800, "A", IF(C267&gt;=700, "B", IF(C267&gt;=600, "C", IF(C267&gt;=500, "D", "F"))))))</f>
        <v/>
      </c>
    </row>
    <row r="268">
      <c r="B268" t="str">
        <f>IF(C268="", "", IF(C268&gt;=900, "S", IF(C268&gt;=800, "A", IF(C268&gt;=700, "B", IF(C268&gt;=600, "C", IF(C268&gt;=500, "D", "F"))))))</f>
        <v/>
      </c>
    </row>
    <row r="269">
      <c r="B269" t="str">
        <f>IF(C269="", "", IF(C269&gt;=900, "S", IF(C269&gt;=800, "A", IF(C269&gt;=700, "B", IF(C269&gt;=600, "C", IF(C269&gt;=500, "D", "F"))))))</f>
        <v/>
      </c>
    </row>
    <row r="270">
      <c r="B270" t="str">
        <f>IF(C270="", "", IF(C270&gt;=900, "S", IF(C270&gt;=800, "A", IF(C270&gt;=700, "B", IF(C270&gt;=600, "C", IF(C270&gt;=500, "D", "F"))))))</f>
        <v/>
      </c>
    </row>
    <row r="271">
      <c r="B271" t="str">
        <f>IF(C271="", "", IF(C271&gt;=900, "S", IF(C271&gt;=800, "A", IF(C271&gt;=700, "B", IF(C271&gt;=600, "C", IF(C271&gt;=500, "D", "F"))))))</f>
        <v/>
      </c>
    </row>
    <row r="272">
      <c r="B272" t="str">
        <f>IF(C272="", "", IF(C272&gt;=900, "S", IF(C272&gt;=800, "A", IF(C272&gt;=700, "B", IF(C272&gt;=600, "C", IF(C272&gt;=500, "D", "F"))))))</f>
        <v/>
      </c>
    </row>
    <row r="273">
      <c r="B273" t="str">
        <f>IF(C273="", "", IF(C273&gt;=900, "S", IF(C273&gt;=800, "A", IF(C273&gt;=700, "B", IF(C273&gt;=600, "C", IF(C273&gt;=500, "D", "F"))))))</f>
        <v/>
      </c>
    </row>
    <row r="274">
      <c r="B274" t="str">
        <f>IF(C274="", "", IF(C274&gt;=900, "S", IF(C274&gt;=800, "A", IF(C274&gt;=700, "B", IF(C274&gt;=600, "C", IF(C274&gt;=500, "D", "F"))))))</f>
        <v/>
      </c>
    </row>
    <row r="275">
      <c r="B275" t="str">
        <f>IF(C275="", "", IF(C275&gt;=900, "S", IF(C275&gt;=800, "A", IF(C275&gt;=700, "B", IF(C275&gt;=600, "C", IF(C275&gt;=500, "D", "F"))))))</f>
        <v/>
      </c>
    </row>
    <row r="276">
      <c r="B276" t="str">
        <f>IF(C276="", "", IF(C276&gt;=900, "S", IF(C276&gt;=800, "A", IF(C276&gt;=700, "B", IF(C276&gt;=600, "C", IF(C276&gt;=500, "D", "F"))))))</f>
        <v/>
      </c>
    </row>
    <row r="277">
      <c r="B277" t="str">
        <f>IF(C277="", "", IF(C277&gt;=900, "S", IF(C277&gt;=800, "A", IF(C277&gt;=700, "B", IF(C277&gt;=600, "C", IF(C277&gt;=500, "D", "F"))))))</f>
        <v/>
      </c>
    </row>
    <row r="278">
      <c r="B278" t="str">
        <f>IF(C278="", "", IF(C278&gt;=900, "S", IF(C278&gt;=800, "A", IF(C278&gt;=700, "B", IF(C278&gt;=600, "C", IF(C278&gt;=500, "D", "F"))))))</f>
        <v/>
      </c>
    </row>
    <row r="279">
      <c r="B279" t="str">
        <f>IF(C279="", "", IF(C279&gt;=900, "S", IF(C279&gt;=800, "A", IF(C279&gt;=700, "B", IF(C279&gt;=600, "C", IF(C279&gt;=500, "D", "F"))))))</f>
        <v/>
      </c>
    </row>
    <row r="280">
      <c r="B280" t="str">
        <f>IF(C280="", "", IF(C280&gt;=900, "S", IF(C280&gt;=800, "A", IF(C280&gt;=700, "B", IF(C280&gt;=600, "C", IF(C280&gt;=500, "D", "F"))))))</f>
        <v/>
      </c>
    </row>
    <row r="281">
      <c r="B281" t="str">
        <f>IF(C281="", "", IF(C281&gt;=900, "S", IF(C281&gt;=800, "A", IF(C281&gt;=700, "B", IF(C281&gt;=600, "C", IF(C281&gt;=500, "D", "F"))))))</f>
        <v/>
      </c>
    </row>
    <row r="282">
      <c r="B282" t="str">
        <f>IF(C282="", "", IF(C282&gt;=900, "S", IF(C282&gt;=800, "A", IF(C282&gt;=700, "B", IF(C282&gt;=600, "C", IF(C282&gt;=500, "D", "F"))))))</f>
        <v/>
      </c>
    </row>
    <row r="283">
      <c r="B283" t="str">
        <f>IF(C283="", "", IF(C283&gt;=900, "S", IF(C283&gt;=800, "A", IF(C283&gt;=700, "B", IF(C283&gt;=600, "C", IF(C283&gt;=500, "D", "F"))))))</f>
        <v/>
      </c>
    </row>
    <row r="284">
      <c r="B284" t="str">
        <f>IF(C284="", "", IF(C284&gt;=900, "S", IF(C284&gt;=800, "A", IF(C284&gt;=700, "B", IF(C284&gt;=600, "C", IF(C284&gt;=500, "D", "F"))))))</f>
        <v/>
      </c>
    </row>
    <row r="285">
      <c r="B285" t="str">
        <f>IF(C285="", "", IF(C285&gt;=900, "S", IF(C285&gt;=800, "A", IF(C285&gt;=700, "B", IF(C285&gt;=600, "C", IF(C285&gt;=500, "D", "F"))))))</f>
        <v/>
      </c>
    </row>
    <row r="286">
      <c r="B286" t="str">
        <f>IF(C286="", "", IF(C286&gt;=900, "S", IF(C286&gt;=800, "A", IF(C286&gt;=700, "B", IF(C286&gt;=600, "C", IF(C286&gt;=500, "D", "F"))))))</f>
        <v/>
      </c>
    </row>
    <row r="287">
      <c r="B287" t="str">
        <f>IF(C287="", "", IF(C287&gt;=900, "S", IF(C287&gt;=800, "A", IF(C287&gt;=700, "B", IF(C287&gt;=600, "C", IF(C287&gt;=500, "D", "F"))))))</f>
        <v/>
      </c>
    </row>
    <row r="288">
      <c r="B288" t="str">
        <f>IF(C288="", "", IF(C288&gt;=900, "S", IF(C288&gt;=800, "A", IF(C288&gt;=700, "B", IF(C288&gt;=600, "C", IF(C288&gt;=500, "D", "F"))))))</f>
        <v/>
      </c>
    </row>
    <row r="289">
      <c r="B289" t="str">
        <f>IF(C289="", "", IF(C289&gt;=900, "S", IF(C289&gt;=800, "A", IF(C289&gt;=700, "B", IF(C289&gt;=600, "C", IF(C289&gt;=500, "D", "F"))))))</f>
        <v/>
      </c>
    </row>
    <row r="290">
      <c r="B290" t="str">
        <f>IF(C290="", "", IF(C290&gt;=900, "S", IF(C290&gt;=800, "A", IF(C290&gt;=700, "B", IF(C290&gt;=600, "C", IF(C290&gt;=500, "D", "F"))))))</f>
        <v/>
      </c>
    </row>
    <row r="291">
      <c r="B291" t="str">
        <f>IF(C291="", "", IF(C291&gt;=900, "S", IF(C291&gt;=800, "A", IF(C291&gt;=700, "B", IF(C291&gt;=600, "C", IF(C291&gt;=500, "D", "F"))))))</f>
        <v/>
      </c>
    </row>
    <row r="292">
      <c r="B292" t="str">
        <f>IF(C292="", "", IF(C292&gt;=900, "S", IF(C292&gt;=800, "A", IF(C292&gt;=700, "B", IF(C292&gt;=600, "C", IF(C292&gt;=500, "D", "F"))))))</f>
        <v/>
      </c>
    </row>
    <row r="293">
      <c r="B293" t="str">
        <f>IF(C293="", "", IF(C293&gt;=900, "S", IF(C293&gt;=800, "A", IF(C293&gt;=700, "B", IF(C293&gt;=600, "C", IF(C293&gt;=500, "D", "F"))))))</f>
        <v/>
      </c>
    </row>
    <row r="294">
      <c r="B294" t="str">
        <f>IF(C294="", "", IF(C294&gt;=900, "S", IF(C294&gt;=800, "A", IF(C294&gt;=700, "B", IF(C294&gt;=600, "C", IF(C294&gt;=500, "D", "F"))))))</f>
        <v/>
      </c>
    </row>
    <row r="295">
      <c r="B295" t="str">
        <f>IF(C295="", "", IF(C295&gt;=900, "S", IF(C295&gt;=800, "A", IF(C295&gt;=700, "B", IF(C295&gt;=600, "C", IF(C295&gt;=500, "D", "F"))))))</f>
        <v/>
      </c>
    </row>
    <row r="296">
      <c r="B296" t="str">
        <f>IF(C296="", "", IF(C296&gt;=900, "S", IF(C296&gt;=800, "A", IF(C296&gt;=700, "B", IF(C296&gt;=600, "C", IF(C296&gt;=500, "D", "F"))))))</f>
        <v/>
      </c>
    </row>
    <row r="297">
      <c r="B297" t="str">
        <f>IF(C297="", "", IF(C297&gt;=900, "S", IF(C297&gt;=800, "A", IF(C297&gt;=700, "B", IF(C297&gt;=600, "C", IF(C297&gt;=500, "D", "F"))))))</f>
        <v/>
      </c>
    </row>
    <row r="298">
      <c r="B298" t="str">
        <f>IF(C298="", "", IF(C298&gt;=900, "S", IF(C298&gt;=800, "A", IF(C298&gt;=700, "B", IF(C298&gt;=600, "C", IF(C298&gt;=500, "D", "F"))))))</f>
        <v/>
      </c>
    </row>
    <row r="299">
      <c r="B299" t="str">
        <f>IF(C299="", "", IF(C299&gt;=900, "S", IF(C299&gt;=800, "A", IF(C299&gt;=700, "B", IF(C299&gt;=600, "C", IF(C299&gt;=500, "D", "F"))))))</f>
        <v/>
      </c>
    </row>
    <row r="300">
      <c r="B300" t="str">
        <f>IF(C300="", "", IF(C300&gt;=900, "S", IF(C300&gt;=800, "A", IF(C300&gt;=700, "B", IF(C300&gt;=600, "C", IF(C300&gt;=500, "D", "F"))))))</f>
        <v/>
      </c>
    </row>
    <row r="301">
      <c r="B301" t="str">
        <f>IF(C301="", "", IF(C301&gt;=900, "S", IF(C301&gt;=800, "A", IF(C301&gt;=700, "B", IF(C301&gt;=600, "C", IF(C301&gt;=500, "D", "F"))))))</f>
        <v/>
      </c>
    </row>
    <row r="302">
      <c r="B302" t="str">
        <f>IF(C302="", "", IF(C302&gt;=900, "S", IF(C302&gt;=800, "A", IF(C302&gt;=700, "B", IF(C302&gt;=600, "C", IF(C302&gt;=500, "D", "F"))))))</f>
        <v/>
      </c>
    </row>
    <row r="303">
      <c r="B303" t="str">
        <f>IF(C303="", "", IF(C303&gt;=900, "S", IF(C303&gt;=800, "A", IF(C303&gt;=700, "B", IF(C303&gt;=600, "C", IF(C303&gt;=500, "D", "F"))))))</f>
        <v/>
      </c>
    </row>
    <row r="304">
      <c r="B304" t="str">
        <f>IF(C304="", "", IF(C304&gt;=900, "S", IF(C304&gt;=800, "A", IF(C304&gt;=700, "B", IF(C304&gt;=600, "C", IF(C304&gt;=500, "D", "F"))))))</f>
        <v/>
      </c>
    </row>
    <row r="305">
      <c r="B305" t="str">
        <f>IF(C305="", "", IF(C305&gt;=900, "S", IF(C305&gt;=800, "A", IF(C305&gt;=700, "B", IF(C305&gt;=600, "C", IF(C305&gt;=500, "D", "F"))))))</f>
        <v/>
      </c>
    </row>
    <row r="306">
      <c r="B306" t="str">
        <f>IF(C306="", "", IF(C306&gt;=900, "S", IF(C306&gt;=800, "A", IF(C306&gt;=700, "B", IF(C306&gt;=600, "C", IF(C306&gt;=500, "D", "F"))))))</f>
        <v/>
      </c>
    </row>
    <row r="307">
      <c r="B307" t="str">
        <f>IF(C307="", "", IF(C307&gt;=900, "S", IF(C307&gt;=800, "A", IF(C307&gt;=700, "B", IF(C307&gt;=600, "C", IF(C307&gt;=500, "D", "F"))))))</f>
        <v/>
      </c>
    </row>
    <row r="308">
      <c r="B308" t="str">
        <f>IF(C308="", "", IF(C308&gt;=900, "S", IF(C308&gt;=800, "A", IF(C308&gt;=700, "B", IF(C308&gt;=600, "C", IF(C308&gt;=500, "D", "F"))))))</f>
        <v/>
      </c>
    </row>
    <row r="309">
      <c r="B309" t="str">
        <f>IF(C309="", "", IF(C309&gt;=900, "S", IF(C309&gt;=800, "A", IF(C309&gt;=700, "B", IF(C309&gt;=600, "C", IF(C309&gt;=500, "D", "F"))))))</f>
        <v/>
      </c>
    </row>
    <row r="310">
      <c r="B310" t="str">
        <f>IF(C310="", "", IF(C310&gt;=900, "S", IF(C310&gt;=800, "A", IF(C310&gt;=700, "B", IF(C310&gt;=600, "C", IF(C310&gt;=500, "D", "F"))))))</f>
        <v/>
      </c>
    </row>
    <row r="311">
      <c r="B311" t="str">
        <f>IF(C311="", "", IF(C311&gt;=900, "S", IF(C311&gt;=800, "A", IF(C311&gt;=700, "B", IF(C311&gt;=600, "C", IF(C311&gt;=500, "D", "F"))))))</f>
        <v/>
      </c>
    </row>
    <row r="312">
      <c r="B312" t="str">
        <f>IF(C312="", "", IF(C312&gt;=900, "S", IF(C312&gt;=800, "A", IF(C312&gt;=700, "B", IF(C312&gt;=600, "C", IF(C312&gt;=500, "D", "F"))))))</f>
        <v/>
      </c>
    </row>
    <row r="313">
      <c r="B313" t="str">
        <f>IF(C313="", "", IF(C313&gt;=900, "S", IF(C313&gt;=800, "A", IF(C313&gt;=700, "B", IF(C313&gt;=600, "C", IF(C313&gt;=500, "D", "F"))))))</f>
        <v/>
      </c>
    </row>
    <row r="314">
      <c r="B314" t="str">
        <f>IF(C314="", "", IF(C314&gt;=900, "S", IF(C314&gt;=800, "A", IF(C314&gt;=700, "B", IF(C314&gt;=600, "C", IF(C314&gt;=500, "D", "F"))))))</f>
        <v/>
      </c>
    </row>
    <row r="315">
      <c r="B315" t="str">
        <f>IF(C315="", "", IF(C315&gt;=900, "S", IF(C315&gt;=800, "A", IF(C315&gt;=700, "B", IF(C315&gt;=600, "C", IF(C315&gt;=500, "D", "F"))))))</f>
        <v/>
      </c>
    </row>
    <row r="316">
      <c r="B316" t="str">
        <f>IF(C316="", "", IF(C316&gt;=900, "S", IF(C316&gt;=800, "A", IF(C316&gt;=700, "B", IF(C316&gt;=600, "C", IF(C316&gt;=500, "D", "F"))))))</f>
        <v/>
      </c>
    </row>
    <row r="317">
      <c r="B317" t="str">
        <f>IF(C317="", "", IF(C317&gt;=900, "S", IF(C317&gt;=800, "A", IF(C317&gt;=700, "B", IF(C317&gt;=600, "C", IF(C317&gt;=500, "D", "F"))))))</f>
        <v/>
      </c>
    </row>
    <row r="318">
      <c r="B318" t="str">
        <f>IF(C318="", "", IF(C318&gt;=900, "S", IF(C318&gt;=800, "A", IF(C318&gt;=700, "B", IF(C318&gt;=600, "C", IF(C318&gt;=500, "D", "F"))))))</f>
        <v/>
      </c>
    </row>
    <row r="319">
      <c r="B319" t="str">
        <f>IF(C319="", "", IF(C319&gt;=900, "S", IF(C319&gt;=800, "A", IF(C319&gt;=700, "B", IF(C319&gt;=600, "C", IF(C319&gt;=500, "D", "F"))))))</f>
        <v/>
      </c>
    </row>
    <row r="320">
      <c r="B320" t="str">
        <f>IF(C320="", "", IF(C320&gt;=900, "S", IF(C320&gt;=800, "A", IF(C320&gt;=700, "B", IF(C320&gt;=600, "C", IF(C320&gt;=500, "D", "F"))))))</f>
        <v/>
      </c>
    </row>
    <row r="321">
      <c r="B321" t="str">
        <f>IF(C321="", "", IF(C321&gt;=900, "S", IF(C321&gt;=800, "A", IF(C321&gt;=700, "B", IF(C321&gt;=600, "C", IF(C321&gt;=500, "D", "F"))))))</f>
        <v/>
      </c>
    </row>
    <row r="322">
      <c r="B322" t="str">
        <f>IF(C322="", "", IF(C322&gt;=900, "S", IF(C322&gt;=800, "A", IF(C322&gt;=700, "B", IF(C322&gt;=600, "C", IF(C322&gt;=500, "D", "F"))))))</f>
        <v/>
      </c>
    </row>
    <row r="323">
      <c r="B323" t="str">
        <f>IF(C323="", "", IF(C323&gt;=900, "S", IF(C323&gt;=800, "A", IF(C323&gt;=700, "B", IF(C323&gt;=600, "C", IF(C323&gt;=500, "D", "F"))))))</f>
        <v/>
      </c>
    </row>
    <row r="324">
      <c r="B324" t="str">
        <f>IF(C324="", "", IF(C324&gt;=900, "S", IF(C324&gt;=800, "A", IF(C324&gt;=700, "B", IF(C324&gt;=600, "C", IF(C324&gt;=500, "D", "F"))))))</f>
        <v/>
      </c>
    </row>
    <row r="325">
      <c r="B325" t="str">
        <f>IF(C325="", "", IF(C325&gt;=900, "S", IF(C325&gt;=800, "A", IF(C325&gt;=700, "B", IF(C325&gt;=600, "C", IF(C325&gt;=500, "D", "F"))))))</f>
        <v/>
      </c>
    </row>
    <row r="326">
      <c r="B326" t="str">
        <f>IF(C326="", "", IF(C326&gt;=900, "S", IF(C326&gt;=800, "A", IF(C326&gt;=700, "B", IF(C326&gt;=600, "C", IF(C326&gt;=500, "D", "F"))))))</f>
        <v/>
      </c>
    </row>
    <row r="327">
      <c r="B327" t="str">
        <f>IF(C327="", "", IF(C327&gt;=900, "S", IF(C327&gt;=800, "A", IF(C327&gt;=700, "B", IF(C327&gt;=600, "C", IF(C327&gt;=500, "D", "F"))))))</f>
        <v/>
      </c>
    </row>
    <row r="328">
      <c r="B328" t="str">
        <f>IF(C328="", "", IF(C328&gt;=900, "S", IF(C328&gt;=800, "A", IF(C328&gt;=700, "B", IF(C328&gt;=600, "C", IF(C328&gt;=500, "D", "F"))))))</f>
        <v/>
      </c>
    </row>
    <row r="329">
      <c r="B329" t="str">
        <f>IF(C329="", "", IF(C329&gt;=900, "S", IF(C329&gt;=800, "A", IF(C329&gt;=700, "B", IF(C329&gt;=600, "C", IF(C329&gt;=500, "D", "F"))))))</f>
        <v/>
      </c>
    </row>
    <row r="330">
      <c r="B330" t="str">
        <f>IF(C330="", "", IF(C330&gt;=900, "S", IF(C330&gt;=800, "A", IF(C330&gt;=700, "B", IF(C330&gt;=600, "C", IF(C330&gt;=500, "D", "F"))))))</f>
        <v/>
      </c>
    </row>
    <row r="331">
      <c r="B331" t="str">
        <f>IF(C331="", "", IF(C331&gt;=900, "S", IF(C331&gt;=800, "A", IF(C331&gt;=700, "B", IF(C331&gt;=600, "C", IF(C331&gt;=500, "D", "F"))))))</f>
        <v/>
      </c>
    </row>
    <row r="332">
      <c r="B332" t="str">
        <f>IF(C332="", "", IF(C332&gt;=900, "S", IF(C332&gt;=800, "A", IF(C332&gt;=700, "B", IF(C332&gt;=600, "C", IF(C332&gt;=500, "D", "F"))))))</f>
        <v/>
      </c>
    </row>
    <row r="333">
      <c r="B333" t="str">
        <f>IF(C333="", "", IF(C333&gt;=900, "S", IF(C333&gt;=800, "A", IF(C333&gt;=700, "B", IF(C333&gt;=600, "C", IF(C333&gt;=500, "D", "F"))))))</f>
        <v/>
      </c>
    </row>
    <row r="334">
      <c r="B334" t="str">
        <f>IF(C334="", "", IF(C334&gt;=900, "S", IF(C334&gt;=800, "A", IF(C334&gt;=700, "B", IF(C334&gt;=600, "C", IF(C334&gt;=500, "D", "F"))))))</f>
        <v/>
      </c>
    </row>
    <row r="335">
      <c r="B335" t="str">
        <f>IF(C335="", "", IF(C335&gt;=900, "S", IF(C335&gt;=800, "A", IF(C335&gt;=700, "B", IF(C335&gt;=600, "C", IF(C335&gt;=500, "D", "F"))))))</f>
        <v/>
      </c>
    </row>
    <row r="336">
      <c r="B336" t="str">
        <f>IF(C336="", "", IF(C336&gt;=900, "S", IF(C336&gt;=800, "A", IF(C336&gt;=700, "B", IF(C336&gt;=600, "C", IF(C336&gt;=500, "D", "F"))))))</f>
        <v/>
      </c>
    </row>
    <row r="337">
      <c r="B337" t="str">
        <f>IF(C337="", "", IF(C337&gt;=900, "S", IF(C337&gt;=800, "A", IF(C337&gt;=700, "B", IF(C337&gt;=600, "C", IF(C337&gt;=500, "D", "F"))))))</f>
        <v/>
      </c>
    </row>
    <row r="338">
      <c r="B338" t="str">
        <f>IF(C338="", "", IF(C338&gt;=900, "S", IF(C338&gt;=800, "A", IF(C338&gt;=700, "B", IF(C338&gt;=600, "C", IF(C338&gt;=500, "D", "F"))))))</f>
        <v/>
      </c>
    </row>
    <row r="339">
      <c r="B339" t="str">
        <f>IF(C339="", "", IF(C339&gt;=900, "S", IF(C339&gt;=800, "A", IF(C339&gt;=700, "B", IF(C339&gt;=600, "C", IF(C339&gt;=500, "D", "F"))))))</f>
        <v/>
      </c>
    </row>
    <row r="340">
      <c r="B340" t="str">
        <f>IF(C340="", "", IF(C340&gt;=900, "S", IF(C340&gt;=800, "A", IF(C340&gt;=700, "B", IF(C340&gt;=600, "C", IF(C340&gt;=500, "D", "F"))))))</f>
        <v/>
      </c>
    </row>
    <row r="341">
      <c r="B341" t="str">
        <f>IF(C341="", "", IF(C341&gt;=900, "S", IF(C341&gt;=800, "A", IF(C341&gt;=700, "B", IF(C341&gt;=600, "C", IF(C341&gt;=500, "D", "F"))))))</f>
        <v/>
      </c>
    </row>
    <row r="342">
      <c r="B342" t="str">
        <f>IF(C342="", "", IF(C342&gt;=900, "S", IF(C342&gt;=800, "A", IF(C342&gt;=700, "B", IF(C342&gt;=600, "C", IF(C342&gt;=500, "D", "F"))))))</f>
        <v/>
      </c>
    </row>
    <row r="343">
      <c r="B343" t="str">
        <f>IF(C343="", "", IF(C343&gt;=900, "S", IF(C343&gt;=800, "A", IF(C343&gt;=700, "B", IF(C343&gt;=600, "C", IF(C343&gt;=500, "D", "F"))))))</f>
        <v/>
      </c>
    </row>
    <row r="344">
      <c r="B344" t="str">
        <f>IF(C344="", "", IF(C344&gt;=900, "S", IF(C344&gt;=800, "A", IF(C344&gt;=700, "B", IF(C344&gt;=600, "C", IF(C344&gt;=500, "D", "F"))))))</f>
        <v/>
      </c>
    </row>
    <row r="345">
      <c r="B345" t="str">
        <f>IF(C345="", "", IF(C345&gt;=900, "S", IF(C345&gt;=800, "A", IF(C345&gt;=700, "B", IF(C345&gt;=600, "C", IF(C345&gt;=500, "D", "F"))))))</f>
        <v/>
      </c>
    </row>
    <row r="346">
      <c r="B346" t="str">
        <f>IF(C346="", "", IF(C346&gt;=900, "S", IF(C346&gt;=800, "A", IF(C346&gt;=700, "B", IF(C346&gt;=600, "C", IF(C346&gt;=500, "D", "F"))))))</f>
        <v/>
      </c>
    </row>
    <row r="347">
      <c r="B347" t="str">
        <f>IF(C347="", "", IF(C347&gt;=900, "S", IF(C347&gt;=800, "A", IF(C347&gt;=700, "B", IF(C347&gt;=600, "C", IF(C347&gt;=500, "D", "F"))))))</f>
        <v/>
      </c>
    </row>
    <row r="348">
      <c r="B348" t="str">
        <f>IF(C348="", "", IF(C348&gt;=900, "S", IF(C348&gt;=800, "A", IF(C348&gt;=700, "B", IF(C348&gt;=600, "C", IF(C348&gt;=500, "D", "F"))))))</f>
        <v/>
      </c>
    </row>
    <row r="349">
      <c r="B349" t="str">
        <f>IF(C349="", "", IF(C349&gt;=900, "S", IF(C349&gt;=800, "A", IF(C349&gt;=700, "B", IF(C349&gt;=600, "C", IF(C349&gt;=500, "D", "F"))))))</f>
        <v/>
      </c>
    </row>
    <row r="350">
      <c r="B350" t="str">
        <f>IF(C350="", "", IF(C350&gt;=900, "S", IF(C350&gt;=800, "A", IF(C350&gt;=700, "B", IF(C350&gt;=600, "C", IF(C350&gt;=500, "D", "F"))))))</f>
        <v/>
      </c>
    </row>
    <row r="351">
      <c r="B351" t="str">
        <f>IF(C351="", "", IF(C351&gt;=900, "S", IF(C351&gt;=800, "A", IF(C351&gt;=700, "B", IF(C351&gt;=600, "C", IF(C351&gt;=500, "D", "F"))))))</f>
        <v/>
      </c>
    </row>
    <row r="352">
      <c r="B352" t="str">
        <f>IF(C352="", "", IF(C352&gt;=900, "S", IF(C352&gt;=800, "A", IF(C352&gt;=700, "B", IF(C352&gt;=600, "C", IF(C352&gt;=500, "D", "F"))))))</f>
        <v/>
      </c>
    </row>
    <row r="353">
      <c r="B353" t="str">
        <f>IF(C353="", "", IF(C353&gt;=900, "S", IF(C353&gt;=800, "A", IF(C353&gt;=700, "B", IF(C353&gt;=600, "C", IF(C353&gt;=500, "D", "F"))))))</f>
        <v/>
      </c>
    </row>
    <row r="354">
      <c r="B354" t="str">
        <f>IF(C354="", "", IF(C354&gt;=900, "S", IF(C354&gt;=800, "A", IF(C354&gt;=700, "B", IF(C354&gt;=600, "C", IF(C354&gt;=500, "D", "F"))))))</f>
        <v/>
      </c>
    </row>
    <row r="355">
      <c r="B355" t="str">
        <f>IF(C355="", "", IF(C355&gt;=900, "S", IF(C355&gt;=800, "A", IF(C355&gt;=700, "B", IF(C355&gt;=600, "C", IF(C355&gt;=500, "D", "F"))))))</f>
        <v/>
      </c>
    </row>
    <row r="356">
      <c r="B356" t="str">
        <f>IF(C356="", "", IF(C356&gt;=900, "S", IF(C356&gt;=800, "A", IF(C356&gt;=700, "B", IF(C356&gt;=600, "C", IF(C356&gt;=500, "D", "F"))))))</f>
        <v/>
      </c>
    </row>
    <row r="357">
      <c r="B357" t="str">
        <f>IF(C357="", "", IF(C357&gt;=900, "S", IF(C357&gt;=800, "A", IF(C357&gt;=700, "B", IF(C357&gt;=600, "C", IF(C357&gt;=500, "D", "F"))))))</f>
        <v/>
      </c>
    </row>
    <row r="358">
      <c r="B358" t="str">
        <f>IF(C358="", "", IF(C358&gt;=900, "S", IF(C358&gt;=800, "A", IF(C358&gt;=700, "B", IF(C358&gt;=600, "C", IF(C358&gt;=500, "D", "F"))))))</f>
        <v/>
      </c>
    </row>
    <row r="359">
      <c r="B359" t="str">
        <f>IF(C359="", "", IF(C359&gt;=900, "S", IF(C359&gt;=800, "A", IF(C359&gt;=700, "B", IF(C359&gt;=600, "C", IF(C359&gt;=500, "D", "F"))))))</f>
        <v/>
      </c>
    </row>
    <row r="360">
      <c r="B360" t="str">
        <f>IF(C360="", "", IF(C360&gt;=900, "S", IF(C360&gt;=800, "A", IF(C360&gt;=700, "B", IF(C360&gt;=600, "C", IF(C360&gt;=500, "D", "F"))))))</f>
        <v/>
      </c>
    </row>
    <row r="361">
      <c r="B361" t="str">
        <f>IF(C361="", "", IF(C361&gt;=900, "S", IF(C361&gt;=800, "A", IF(C361&gt;=700, "B", IF(C361&gt;=600, "C", IF(C361&gt;=500, "D", "F"))))))</f>
        <v/>
      </c>
    </row>
    <row r="362">
      <c r="B362" t="str">
        <f>IF(C362="", "", IF(C362&gt;=900, "S", IF(C362&gt;=800, "A", IF(C362&gt;=700, "B", IF(C362&gt;=600, "C", IF(C362&gt;=500, "D", "F"))))))</f>
        <v/>
      </c>
    </row>
    <row r="363">
      <c r="B363" t="str">
        <f>IF(C363="", "", IF(C363&gt;=900, "S", IF(C363&gt;=800, "A", IF(C363&gt;=700, "B", IF(C363&gt;=600, "C", IF(C363&gt;=500, "D", "F"))))))</f>
        <v/>
      </c>
    </row>
    <row r="364">
      <c r="B364" t="str">
        <f>IF(C364="", "", IF(C364&gt;=900, "S", IF(C364&gt;=800, "A", IF(C364&gt;=700, "B", IF(C364&gt;=600, "C", IF(C364&gt;=500, "D", "F"))))))</f>
        <v/>
      </c>
    </row>
    <row r="365">
      <c r="B365" t="str">
        <f>IF(C365="", "", IF(C365&gt;=900, "S", IF(C365&gt;=800, "A", IF(C365&gt;=700, "B", IF(C365&gt;=600, "C", IF(C365&gt;=500, "D", "F"))))))</f>
        <v/>
      </c>
    </row>
    <row r="366">
      <c r="B366" t="str">
        <f>IF(C366="", "", IF(C366&gt;=900, "S", IF(C366&gt;=800, "A", IF(C366&gt;=700, "B", IF(C366&gt;=600, "C", IF(C366&gt;=500, "D", "F"))))))</f>
        <v/>
      </c>
    </row>
    <row r="367">
      <c r="B367" t="str">
        <f>IF(C367="", "", IF(C367&gt;=900, "S", IF(C367&gt;=800, "A", IF(C367&gt;=700, "B", IF(C367&gt;=600, "C", IF(C367&gt;=500, "D", "F"))))))</f>
        <v/>
      </c>
    </row>
    <row r="368">
      <c r="B368" t="str">
        <f>IF(C368="", "", IF(C368&gt;=900, "S", IF(C368&gt;=800, "A", IF(C368&gt;=700, "B", IF(C368&gt;=600, "C", IF(C368&gt;=500, "D", "F"))))))</f>
        <v/>
      </c>
    </row>
    <row r="369">
      <c r="B369" t="str">
        <f>IF(C369="", "", IF(C369&gt;=900, "S", IF(C369&gt;=800, "A", IF(C369&gt;=700, "B", IF(C369&gt;=600, "C", IF(C369&gt;=500, "D", "F"))))))</f>
        <v/>
      </c>
    </row>
    <row r="370">
      <c r="B370" t="str">
        <f>IF(C370="", "", IF(C370&gt;=900, "S", IF(C370&gt;=800, "A", IF(C370&gt;=700, "B", IF(C370&gt;=600, "C", IF(C370&gt;=500, "D", "F"))))))</f>
        <v/>
      </c>
    </row>
    <row r="371">
      <c r="B371" t="str">
        <f>IF(C371="", "", IF(C371&gt;=900, "S", IF(C371&gt;=800, "A", IF(C371&gt;=700, "B", IF(C371&gt;=600, "C", IF(C371&gt;=500, "D", "F"))))))</f>
        <v/>
      </c>
    </row>
    <row r="372">
      <c r="B372" t="str">
        <f>IF(C372="", "", IF(C372&gt;=900, "S", IF(C372&gt;=800, "A", IF(C372&gt;=700, "B", IF(C372&gt;=600, "C", IF(C372&gt;=500, "D", "F"))))))</f>
        <v/>
      </c>
    </row>
    <row r="373">
      <c r="B373" t="str">
        <f>IF(C373="", "", IF(C373&gt;=900, "S", IF(C373&gt;=800, "A", IF(C373&gt;=700, "B", IF(C373&gt;=600, "C", IF(C373&gt;=500, "D", "F"))))))</f>
        <v/>
      </c>
    </row>
    <row r="374">
      <c r="B374" t="str">
        <f>IF(C374="", "", IF(C374&gt;=900, "S", IF(C374&gt;=800, "A", IF(C374&gt;=700, "B", IF(C374&gt;=600, "C", IF(C374&gt;=500, "D", "F"))))))</f>
        <v/>
      </c>
    </row>
    <row r="375">
      <c r="B375" t="str">
        <f>IF(C375="", "", IF(C375&gt;=900, "S", IF(C375&gt;=800, "A", IF(C375&gt;=700, "B", IF(C375&gt;=600, "C", IF(C375&gt;=500, "D", "F"))))))</f>
        <v/>
      </c>
    </row>
    <row r="376">
      <c r="B376" t="str">
        <f>IF(C376="", "", IF(C376&gt;=900, "S", IF(C376&gt;=800, "A", IF(C376&gt;=700, "B", IF(C376&gt;=600, "C", IF(C376&gt;=500, "D", "F"))))))</f>
        <v/>
      </c>
    </row>
    <row r="377">
      <c r="B377" t="str">
        <f>IF(C377="", "", IF(C377&gt;=900, "S", IF(C377&gt;=800, "A", IF(C377&gt;=700, "B", IF(C377&gt;=600, "C", IF(C377&gt;=500, "D", "F"))))))</f>
        <v/>
      </c>
    </row>
    <row r="378">
      <c r="B378" t="str">
        <f>IF(C378="", "", IF(C378&gt;=900, "S", IF(C378&gt;=800, "A", IF(C378&gt;=700, "B", IF(C378&gt;=600, "C", IF(C378&gt;=500, "D", "F"))))))</f>
        <v/>
      </c>
    </row>
    <row r="379">
      <c r="B379" t="str">
        <f>IF(C379="", "", IF(C379&gt;=900, "S", IF(C379&gt;=800, "A", IF(C379&gt;=700, "B", IF(C379&gt;=600, "C", IF(C379&gt;=500, "D", "F"))))))</f>
        <v/>
      </c>
    </row>
    <row r="380">
      <c r="B380" t="str">
        <f>IF(C380="", "", IF(C380&gt;=900, "S", IF(C380&gt;=800, "A", IF(C380&gt;=700, "B", IF(C380&gt;=600, "C", IF(C380&gt;=500, "D", "F"))))))</f>
        <v/>
      </c>
    </row>
    <row r="381">
      <c r="B381" t="str">
        <f>IF(C381="", "", IF(C381&gt;=900, "S", IF(C381&gt;=800, "A", IF(C381&gt;=700, "B", IF(C381&gt;=600, "C", IF(C381&gt;=500, "D", "F"))))))</f>
        <v/>
      </c>
    </row>
    <row r="382">
      <c r="B382" t="str">
        <f>IF(C382="", "", IF(C382&gt;=900, "S", IF(C382&gt;=800, "A", IF(C382&gt;=700, "B", IF(C382&gt;=600, "C", IF(C382&gt;=500, "D", "F"))))))</f>
        <v/>
      </c>
    </row>
    <row r="383">
      <c r="B383" t="str">
        <f>IF(C383="", "", IF(C383&gt;=900, "S", IF(C383&gt;=800, "A", IF(C383&gt;=700, "B", IF(C383&gt;=600, "C", IF(C383&gt;=500, "D", "F"))))))</f>
        <v/>
      </c>
    </row>
    <row r="384">
      <c r="B384" t="str">
        <f>IF(C384="", "", IF(C384&gt;=900, "S", IF(C384&gt;=800, "A", IF(C384&gt;=700, "B", IF(C384&gt;=600, "C", IF(C384&gt;=500, "D", "F"))))))</f>
        <v/>
      </c>
    </row>
    <row r="385">
      <c r="B385" t="str">
        <f>IF(C385="", "", IF(C385&gt;=900, "S", IF(C385&gt;=800, "A", IF(C385&gt;=700, "B", IF(C385&gt;=600, "C", IF(C385&gt;=500, "D", "F"))))))</f>
        <v/>
      </c>
    </row>
    <row r="386">
      <c r="B386" t="str">
        <f>IF(C386="", "", IF(C386&gt;=900, "S", IF(C386&gt;=800, "A", IF(C386&gt;=700, "B", IF(C386&gt;=600, "C", IF(C386&gt;=500, "D", "F"))))))</f>
        <v/>
      </c>
    </row>
    <row r="387">
      <c r="B387" t="str">
        <f>IF(C387="", "", IF(C387&gt;=900, "S", IF(C387&gt;=800, "A", IF(C387&gt;=700, "B", IF(C387&gt;=600, "C", IF(C387&gt;=500, "D", "F"))))))</f>
        <v/>
      </c>
    </row>
    <row r="388">
      <c r="B388" t="str">
        <f>IF(C388="", "", IF(C388&gt;=900, "S", IF(C388&gt;=800, "A", IF(C388&gt;=700, "B", IF(C388&gt;=600, "C", IF(C388&gt;=500, "D", "F"))))))</f>
        <v/>
      </c>
    </row>
    <row r="389">
      <c r="B389" t="str">
        <f>IF(C389="", "", IF(C389&gt;=900, "S", IF(C389&gt;=800, "A", IF(C389&gt;=700, "B", IF(C389&gt;=600, "C", IF(C389&gt;=500, "D", "F"))))))</f>
        <v/>
      </c>
    </row>
    <row r="390">
      <c r="B390" t="str">
        <f>IF(C390="", "", IF(C390&gt;=900, "S", IF(C390&gt;=800, "A", IF(C390&gt;=700, "B", IF(C390&gt;=600, "C", IF(C390&gt;=500, "D", "F"))))))</f>
        <v/>
      </c>
    </row>
    <row r="391">
      <c r="B391" t="str">
        <f>IF(C391="", "", IF(C391&gt;=900, "S", IF(C391&gt;=800, "A", IF(C391&gt;=700, "B", IF(C391&gt;=600, "C", IF(C391&gt;=500, "D", "F"))))))</f>
        <v/>
      </c>
    </row>
    <row r="392">
      <c r="B392" t="str">
        <f>IF(C392="", "", IF(C392&gt;=900, "S", IF(C392&gt;=800, "A", IF(C392&gt;=700, "B", IF(C392&gt;=600, "C", IF(C392&gt;=500, "D", "F"))))))</f>
        <v/>
      </c>
    </row>
    <row r="393">
      <c r="B393" t="str">
        <f>IF(C393="", "", IF(C393&gt;=900, "S", IF(C393&gt;=800, "A", IF(C393&gt;=700, "B", IF(C393&gt;=600, "C", IF(C393&gt;=500, "D", "F"))))))</f>
        <v/>
      </c>
    </row>
    <row r="394">
      <c r="B394" t="str">
        <f>IF(C394="", "", IF(C394&gt;=900, "S", IF(C394&gt;=800, "A", IF(C394&gt;=700, "B", IF(C394&gt;=600, "C", IF(C394&gt;=500, "D", "F"))))))</f>
        <v/>
      </c>
    </row>
    <row r="395">
      <c r="B395" t="str">
        <f>IF(C395="", "", IF(C395&gt;=900, "S", IF(C395&gt;=800, "A", IF(C395&gt;=700, "B", IF(C395&gt;=600, "C", IF(C395&gt;=500, "D", "F"))))))</f>
        <v/>
      </c>
    </row>
    <row r="396">
      <c r="B396" t="str">
        <f>IF(C396="", "", IF(C396&gt;=900, "S", IF(C396&gt;=800, "A", IF(C396&gt;=700, "B", IF(C396&gt;=600, "C", IF(C396&gt;=500, "D", "F"))))))</f>
        <v/>
      </c>
    </row>
    <row r="397">
      <c r="B397" t="str">
        <f>IF(C397="", "", IF(C397&gt;=900, "S", IF(C397&gt;=800, "A", IF(C397&gt;=700, "B", IF(C397&gt;=600, "C", IF(C397&gt;=500, "D", "F"))))))</f>
        <v/>
      </c>
    </row>
    <row r="398">
      <c r="B398" t="str">
        <f>IF(C398="", "", IF(C398&gt;=900, "S", IF(C398&gt;=800, "A", IF(C398&gt;=700, "B", IF(C398&gt;=600, "C", IF(C398&gt;=500, "D", "F"))))))</f>
        <v/>
      </c>
    </row>
    <row r="399">
      <c r="B399" t="str">
        <f>IF(C399="", "", IF(C399&gt;=900, "S", IF(C399&gt;=800, "A", IF(C399&gt;=700, "B", IF(C399&gt;=600, "C", IF(C399&gt;=500, "D", "F"))))))</f>
        <v/>
      </c>
    </row>
    <row r="400">
      <c r="B400" t="str">
        <f>IF(C400="", "", IF(C400&gt;=900, "S", IF(C400&gt;=800, "A", IF(C400&gt;=700, "B", IF(C400&gt;=600, "C", IF(C400&gt;=500, "D", "F"))))))</f>
        <v/>
      </c>
    </row>
    <row r="401">
      <c r="B401" t="str">
        <f>IF(C401="", "", IF(C401&gt;=900, "S", IF(C401&gt;=800, "A", IF(C401&gt;=700, "B", IF(C401&gt;=600, "C", IF(C401&gt;=500, "D", "F"))))))</f>
        <v/>
      </c>
    </row>
    <row r="402">
      <c r="B402" t="str">
        <f>IF(C402="", "", IF(C402&gt;=900, "S", IF(C402&gt;=800, "A", IF(C402&gt;=700, "B", IF(C402&gt;=600, "C", IF(C402&gt;=500, "D", "F"))))))</f>
        <v/>
      </c>
    </row>
    <row r="403">
      <c r="B403" t="str">
        <f>IF(C403="", "", IF(C403&gt;=900, "S", IF(C403&gt;=800, "A", IF(C403&gt;=700, "B", IF(C403&gt;=600, "C", IF(C403&gt;=500, "D", "F"))))))</f>
        <v/>
      </c>
    </row>
    <row r="404">
      <c r="B404" t="str">
        <f>IF(C404="", "", IF(C404&gt;=900, "S", IF(C404&gt;=800, "A", IF(C404&gt;=700, "B", IF(C404&gt;=600, "C", IF(C404&gt;=500, "D", "F"))))))</f>
        <v/>
      </c>
    </row>
    <row r="405">
      <c r="B405" t="str">
        <f>IF(C405="", "", IF(C405&gt;=900, "S", IF(C405&gt;=800, "A", IF(C405&gt;=700, "B", IF(C405&gt;=600, "C", IF(C405&gt;=500, "D", "F"))))))</f>
        <v/>
      </c>
    </row>
    <row r="406">
      <c r="B406" t="str">
        <f>IF(C406="", "", IF(C406&gt;=900, "S", IF(C406&gt;=800, "A", IF(C406&gt;=700, "B", IF(C406&gt;=600, "C", IF(C406&gt;=500, "D", "F"))))))</f>
        <v/>
      </c>
    </row>
    <row r="407">
      <c r="B407" t="str">
        <f>IF(C407="", "", IF(C407&gt;=900, "S", IF(C407&gt;=800, "A", IF(C407&gt;=700, "B", IF(C407&gt;=600, "C", IF(C407&gt;=500, "D", "F"))))))</f>
        <v/>
      </c>
    </row>
    <row r="408">
      <c r="B408" t="str">
        <f>IF(C408="", "", IF(C408&gt;=900, "S", IF(C408&gt;=800, "A", IF(C408&gt;=700, "B", IF(C408&gt;=600, "C", IF(C408&gt;=500, "D", "F"))))))</f>
        <v/>
      </c>
    </row>
    <row r="409">
      <c r="B409" t="str">
        <f>IF(C409="", "", IF(C409&gt;=900, "S", IF(C409&gt;=800, "A", IF(C409&gt;=700, "B", IF(C409&gt;=600, "C", IF(C409&gt;=500, "D", "F"))))))</f>
        <v/>
      </c>
    </row>
    <row r="410">
      <c r="B410" t="str">
        <f>IF(C410="", "", IF(C410&gt;=900, "S", IF(C410&gt;=800, "A", IF(C410&gt;=700, "B", IF(C410&gt;=600, "C", IF(C410&gt;=500, "D", "F"))))))</f>
        <v/>
      </c>
    </row>
    <row r="411">
      <c r="B411" t="str">
        <f>IF(C411="", "", IF(C411&gt;=900, "S", IF(C411&gt;=800, "A", IF(C411&gt;=700, "B", IF(C411&gt;=600, "C", IF(C411&gt;=500, "D", "F"))))))</f>
        <v/>
      </c>
    </row>
    <row r="412">
      <c r="B412" t="str">
        <f>IF(C412="", "", IF(C412&gt;=900, "S", IF(C412&gt;=800, "A", IF(C412&gt;=700, "B", IF(C412&gt;=600, "C", IF(C412&gt;=500, "D", "F"))))))</f>
        <v/>
      </c>
    </row>
    <row r="413">
      <c r="B413" t="str">
        <f>IF(C413="", "", IF(C413&gt;=900, "S", IF(C413&gt;=800, "A", IF(C413&gt;=700, "B", IF(C413&gt;=600, "C", IF(C413&gt;=500, "D", "F"))))))</f>
        <v/>
      </c>
    </row>
    <row r="414">
      <c r="B414" t="str">
        <f>IF(C414="", "", IF(C414&gt;=900, "S", IF(C414&gt;=800, "A", IF(C414&gt;=700, "B", IF(C414&gt;=600, "C", IF(C414&gt;=500, "D", "F"))))))</f>
        <v/>
      </c>
    </row>
    <row r="415">
      <c r="B415" t="str">
        <f>IF(C415="", "", IF(C415&gt;=900, "S", IF(C415&gt;=800, "A", IF(C415&gt;=700, "B", IF(C415&gt;=600, "C", IF(C415&gt;=500, "D", "F"))))))</f>
        <v/>
      </c>
    </row>
    <row r="416">
      <c r="B416" t="str">
        <f>IF(C416="", "", IF(C416&gt;=900, "S", IF(C416&gt;=800, "A", IF(C416&gt;=700, "B", IF(C416&gt;=600, "C", IF(C416&gt;=500, "D", "F"))))))</f>
        <v/>
      </c>
    </row>
    <row r="417">
      <c r="B417" t="str">
        <f>IF(C417="", "", IF(C417&gt;=900, "S", IF(C417&gt;=800, "A", IF(C417&gt;=700, "B", IF(C417&gt;=600, "C", IF(C417&gt;=500, "D", "F"))))))</f>
        <v/>
      </c>
    </row>
    <row r="418">
      <c r="B418" t="str">
        <f>IF(C418="", "", IF(C418&gt;=900, "S", IF(C418&gt;=800, "A", IF(C418&gt;=700, "B", IF(C418&gt;=600, "C", IF(C418&gt;=500, "D", "F"))))))</f>
        <v/>
      </c>
    </row>
    <row r="419">
      <c r="B419" t="str">
        <f>IF(C419="", "", IF(C419&gt;=900, "S", IF(C419&gt;=800, "A", IF(C419&gt;=700, "B", IF(C419&gt;=600, "C", IF(C419&gt;=500, "D", "F"))))))</f>
        <v/>
      </c>
    </row>
    <row r="420">
      <c r="B420" t="str">
        <f>IF(C420="", "", IF(C420&gt;=900, "S", IF(C420&gt;=800, "A", IF(C420&gt;=700, "B", IF(C420&gt;=600, "C", IF(C420&gt;=500, "D", "F"))))))</f>
        <v/>
      </c>
    </row>
    <row r="421">
      <c r="B421" t="str">
        <f>IF(C421="", "", IF(C421&gt;=900, "S", IF(C421&gt;=800, "A", IF(C421&gt;=700, "B", IF(C421&gt;=600, "C", IF(C421&gt;=500, "D", "F"))))))</f>
        <v/>
      </c>
    </row>
    <row r="422">
      <c r="B422" t="str">
        <f>IF(C422="", "", IF(C422&gt;=900, "S", IF(C422&gt;=800, "A", IF(C422&gt;=700, "B", IF(C422&gt;=600, "C", IF(C422&gt;=500, "D", "F"))))))</f>
        <v/>
      </c>
    </row>
    <row r="423">
      <c r="B423" t="str">
        <f>IF(C423="", "", IF(C423&gt;=900, "S", IF(C423&gt;=800, "A", IF(C423&gt;=700, "B", IF(C423&gt;=600, "C", IF(C423&gt;=500, "D", "F"))))))</f>
        <v/>
      </c>
    </row>
    <row r="424">
      <c r="B424" t="str">
        <f>IF(C424="", "", IF(C424&gt;=900, "S", IF(C424&gt;=800, "A", IF(C424&gt;=700, "B", IF(C424&gt;=600, "C", IF(C424&gt;=500, "D", "F"))))))</f>
        <v/>
      </c>
    </row>
    <row r="425">
      <c r="B425" t="str">
        <f>IF(C425="", "", IF(C425&gt;=900, "S", IF(C425&gt;=800, "A", IF(C425&gt;=700, "B", IF(C425&gt;=600, "C", IF(C425&gt;=500, "D", "F"))))))</f>
        <v/>
      </c>
    </row>
    <row r="426">
      <c r="B426" t="str">
        <f>IF(C426="", "", IF(C426&gt;=900, "S", IF(C426&gt;=800, "A", IF(C426&gt;=700, "B", IF(C426&gt;=600, "C", IF(C426&gt;=500, "D", "F"))))))</f>
        <v/>
      </c>
    </row>
    <row r="427">
      <c r="B427" t="str">
        <f>IF(C427="", "", IF(C427&gt;=900, "S", IF(C427&gt;=800, "A", IF(C427&gt;=700, "B", IF(C427&gt;=600, "C", IF(C427&gt;=500, "D", "F"))))))</f>
        <v/>
      </c>
    </row>
    <row r="428">
      <c r="B428" t="str">
        <f>IF(C428="", "", IF(C428&gt;=900, "S", IF(C428&gt;=800, "A", IF(C428&gt;=700, "B", IF(C428&gt;=600, "C", IF(C428&gt;=500, "D", "F"))))))</f>
        <v/>
      </c>
    </row>
    <row r="429">
      <c r="B429" t="str">
        <f>IF(C429="", "", IF(C429&gt;=900, "S", IF(C429&gt;=800, "A", IF(C429&gt;=700, "B", IF(C429&gt;=600, "C", IF(C429&gt;=500, "D", "F"))))))</f>
        <v/>
      </c>
    </row>
    <row r="430">
      <c r="B430" t="str">
        <f>IF(C430="", "", IF(C430&gt;=900, "S", IF(C430&gt;=800, "A", IF(C430&gt;=700, "B", IF(C430&gt;=600, "C", IF(C430&gt;=500, "D", "F"))))))</f>
        <v/>
      </c>
    </row>
    <row r="431">
      <c r="B431" t="str">
        <f>IF(C431="", "", IF(C431&gt;=900, "S", IF(C431&gt;=800, "A", IF(C431&gt;=700, "B", IF(C431&gt;=600, "C", IF(C431&gt;=500, "D", "F"))))))</f>
        <v/>
      </c>
    </row>
    <row r="432">
      <c r="B432" t="str">
        <f>IF(C432="", "", IF(C432&gt;=900, "S", IF(C432&gt;=800, "A", IF(C432&gt;=700, "B", IF(C432&gt;=600, "C", IF(C432&gt;=500, "D", "F"))))))</f>
        <v/>
      </c>
    </row>
    <row r="433">
      <c r="B433" t="str">
        <f>IF(C433="", "", IF(C433&gt;=900, "S", IF(C433&gt;=800, "A", IF(C433&gt;=700, "B", IF(C433&gt;=600, "C", IF(C433&gt;=500, "D", "F"))))))</f>
        <v/>
      </c>
    </row>
    <row r="434">
      <c r="B434" t="str">
        <f>IF(C434="", "", IF(C434&gt;=900, "S", IF(C434&gt;=800, "A", IF(C434&gt;=700, "B", IF(C434&gt;=600, "C", IF(C434&gt;=500, "D", "F"))))))</f>
        <v/>
      </c>
    </row>
    <row r="435">
      <c r="B435" t="str">
        <f>IF(C435="", "", IF(C435&gt;=900, "S", IF(C435&gt;=800, "A", IF(C435&gt;=700, "B", IF(C435&gt;=600, "C", IF(C435&gt;=500, "D", "F"))))))</f>
        <v/>
      </c>
    </row>
    <row r="436">
      <c r="B436" t="str">
        <f>IF(C436="", "", IF(C436&gt;=900, "S", IF(C436&gt;=800, "A", IF(C436&gt;=700, "B", IF(C436&gt;=600, "C", IF(C436&gt;=500, "D", "F"))))))</f>
        <v/>
      </c>
    </row>
    <row r="437">
      <c r="B437" t="str">
        <f>IF(C437="", "", IF(C437&gt;=900, "S", IF(C437&gt;=800, "A", IF(C437&gt;=700, "B", IF(C437&gt;=600, "C", IF(C437&gt;=500, "D", "F"))))))</f>
        <v/>
      </c>
    </row>
    <row r="438">
      <c r="B438" t="str">
        <f>IF(C438="", "", IF(C438&gt;=900, "S", IF(C438&gt;=800, "A", IF(C438&gt;=700, "B", IF(C438&gt;=600, "C", IF(C438&gt;=500, "D", "F"))))))</f>
        <v/>
      </c>
    </row>
    <row r="439">
      <c r="B439" t="str">
        <f>IF(C439="", "", IF(C439&gt;=900, "S", IF(C439&gt;=800, "A", IF(C439&gt;=700, "B", IF(C439&gt;=600, "C", IF(C439&gt;=500, "D", "F"))))))</f>
        <v/>
      </c>
    </row>
    <row r="440">
      <c r="B440" t="str">
        <f>IF(C440="", "", IF(C440&gt;=900, "S", IF(C440&gt;=800, "A", IF(C440&gt;=700, "B", IF(C440&gt;=600, "C", IF(C440&gt;=500, "D", "F"))))))</f>
        <v/>
      </c>
    </row>
    <row r="441">
      <c r="B441" t="str">
        <f>IF(C441="", "", IF(C441&gt;=900, "S", IF(C441&gt;=800, "A", IF(C441&gt;=700, "B", IF(C441&gt;=600, "C", IF(C441&gt;=500, "D", "F"))))))</f>
        <v/>
      </c>
    </row>
    <row r="442">
      <c r="B442" t="str">
        <f>IF(C442="", "", IF(C442&gt;=900, "S", IF(C442&gt;=800, "A", IF(C442&gt;=700, "B", IF(C442&gt;=600, "C", IF(C442&gt;=500, "D", "F"))))))</f>
        <v/>
      </c>
    </row>
    <row r="443">
      <c r="B443" t="str">
        <f>IF(C443="", "", IF(C443&gt;=900, "S", IF(C443&gt;=800, "A", IF(C443&gt;=700, "B", IF(C443&gt;=600, "C", IF(C443&gt;=500, "D", "F"))))))</f>
        <v/>
      </c>
    </row>
    <row r="444">
      <c r="B444" t="str">
        <f>IF(C444="", "", IF(C444&gt;=900, "S", IF(C444&gt;=800, "A", IF(C444&gt;=700, "B", IF(C444&gt;=600, "C", IF(C444&gt;=500, "D", "F"))))))</f>
        <v/>
      </c>
    </row>
    <row r="445">
      <c r="B445" t="str">
        <f>IF(C445="", "", IF(C445&gt;=900, "S", IF(C445&gt;=800, "A", IF(C445&gt;=700, "B", IF(C445&gt;=600, "C", IF(C445&gt;=500, "D", "F"))))))</f>
        <v/>
      </c>
    </row>
    <row r="446">
      <c r="B446" t="str">
        <f>IF(C446="", "", IF(C446&gt;=900, "S", IF(C446&gt;=800, "A", IF(C446&gt;=700, "B", IF(C446&gt;=600, "C", IF(C446&gt;=500, "D", "F"))))))</f>
        <v/>
      </c>
    </row>
    <row r="447">
      <c r="B447" t="str">
        <f>IF(C447="", "", IF(C447&gt;=900, "S", IF(C447&gt;=800, "A", IF(C447&gt;=700, "B", IF(C447&gt;=600, "C", IF(C447&gt;=500, "D", "F"))))))</f>
        <v/>
      </c>
    </row>
    <row r="448">
      <c r="B448" t="str">
        <f>IF(C448="", "", IF(C448&gt;=900, "S", IF(C448&gt;=800, "A", IF(C448&gt;=700, "B", IF(C448&gt;=600, "C", IF(C448&gt;=500, "D", "F"))))))</f>
        <v/>
      </c>
    </row>
    <row r="449">
      <c r="B449" t="str">
        <f>IF(C449="", "", IF(C449&gt;=900, "S", IF(C449&gt;=800, "A", IF(C449&gt;=700, "B", IF(C449&gt;=600, "C", IF(C449&gt;=500, "D", "F"))))))</f>
        <v/>
      </c>
    </row>
    <row r="450">
      <c r="B450" t="str">
        <f>IF(C450="", "", IF(C450&gt;=900, "S", IF(C450&gt;=800, "A", IF(C450&gt;=700, "B", IF(C450&gt;=600, "C", IF(C450&gt;=500, "D", "F"))))))</f>
        <v/>
      </c>
    </row>
    <row r="451">
      <c r="B451" t="str">
        <f>IF(C451="", "", IF(C451&gt;=900, "S", IF(C451&gt;=800, "A", IF(C451&gt;=700, "B", IF(C451&gt;=600, "C", IF(C451&gt;=500, "D", "F"))))))</f>
        <v/>
      </c>
    </row>
    <row r="452">
      <c r="B452" t="str">
        <f>IF(C452="", "", IF(C452&gt;=900, "S", IF(C452&gt;=800, "A", IF(C452&gt;=700, "B", IF(C452&gt;=600, "C", IF(C452&gt;=500, "D", "F"))))))</f>
        <v/>
      </c>
    </row>
    <row r="453">
      <c r="B453" t="str">
        <f>IF(C453="", "", IF(C453&gt;=900, "S", IF(C453&gt;=800, "A", IF(C453&gt;=700, "B", IF(C453&gt;=600, "C", IF(C453&gt;=500, "D", "F"))))))</f>
        <v/>
      </c>
    </row>
    <row r="454">
      <c r="B454" t="str">
        <f>IF(C454="", "", IF(C454&gt;=900, "S", IF(C454&gt;=800, "A", IF(C454&gt;=700, "B", IF(C454&gt;=600, "C", IF(C454&gt;=500, "D", "F"))))))</f>
        <v/>
      </c>
    </row>
    <row r="455">
      <c r="B455" t="str">
        <f>IF(C455="", "", IF(C455&gt;=900, "S", IF(C455&gt;=800, "A", IF(C455&gt;=700, "B", IF(C455&gt;=600, "C", IF(C455&gt;=500, "D", "F"))))))</f>
        <v/>
      </c>
    </row>
    <row r="456">
      <c r="B456" t="str">
        <f>IF(C456="", "", IF(C456&gt;=900, "S", IF(C456&gt;=800, "A", IF(C456&gt;=700, "B", IF(C456&gt;=600, "C", IF(C456&gt;=500, "D", "F"))))))</f>
        <v/>
      </c>
    </row>
    <row r="457">
      <c r="B457" t="str">
        <f>IF(C457="", "", IF(C457&gt;=900, "S", IF(C457&gt;=800, "A", IF(C457&gt;=700, "B", IF(C457&gt;=600, "C", IF(C457&gt;=500, "D", "F"))))))</f>
        <v/>
      </c>
    </row>
    <row r="458">
      <c r="B458" t="str">
        <f>IF(C458="", "", IF(C458&gt;=900, "S", IF(C458&gt;=800, "A", IF(C458&gt;=700, "B", IF(C458&gt;=600, "C", IF(C458&gt;=500, "D", "F"))))))</f>
        <v/>
      </c>
    </row>
    <row r="459">
      <c r="B459" t="str">
        <f>IF(C459="", "", IF(C459&gt;=900, "S", IF(C459&gt;=800, "A", IF(C459&gt;=700, "B", IF(C459&gt;=600, "C", IF(C459&gt;=500, "D", "F"))))))</f>
        <v/>
      </c>
    </row>
    <row r="460">
      <c r="B460" t="str">
        <f>IF(C460="", "", IF(C460&gt;=900, "S", IF(C460&gt;=800, "A", IF(C460&gt;=700, "B", IF(C460&gt;=600, "C", IF(C460&gt;=500, "D", "F"))))))</f>
        <v/>
      </c>
    </row>
    <row r="461">
      <c r="B461" t="str">
        <f>IF(C461="", "", IF(C461&gt;=900, "S", IF(C461&gt;=800, "A", IF(C461&gt;=700, "B", IF(C461&gt;=600, "C", IF(C461&gt;=500, "D", "F"))))))</f>
        <v/>
      </c>
    </row>
    <row r="462">
      <c r="B462" t="str">
        <f>IF(C462="", "", IF(C462&gt;=900, "S", IF(C462&gt;=800, "A", IF(C462&gt;=700, "B", IF(C462&gt;=600, "C", IF(C462&gt;=500, "D", "F"))))))</f>
        <v/>
      </c>
    </row>
    <row r="463">
      <c r="B463" t="str">
        <f>IF(C463="", "", IF(C463&gt;=900, "S", IF(C463&gt;=800, "A", IF(C463&gt;=700, "B", IF(C463&gt;=600, "C", IF(C463&gt;=500, "D", "F"))))))</f>
        <v/>
      </c>
    </row>
    <row r="464">
      <c r="B464" t="str">
        <f>IF(C464="", "", IF(C464&gt;=900, "S", IF(C464&gt;=800, "A", IF(C464&gt;=700, "B", IF(C464&gt;=600, "C", IF(C464&gt;=500, "D", "F"))))))</f>
        <v/>
      </c>
    </row>
    <row r="465">
      <c r="B465" t="str">
        <f>IF(C465="", "", IF(C465&gt;=900, "S", IF(C465&gt;=800, "A", IF(C465&gt;=700, "B", IF(C465&gt;=600, "C", IF(C465&gt;=500, "D", "F"))))))</f>
        <v/>
      </c>
    </row>
    <row r="466">
      <c r="B466" t="str">
        <f>IF(C466="", "", IF(C466&gt;=900, "S", IF(C466&gt;=800, "A", IF(C466&gt;=700, "B", IF(C466&gt;=600, "C", IF(C466&gt;=500, "D", "F"))))))</f>
        <v/>
      </c>
    </row>
    <row r="467">
      <c r="B467" t="str">
        <f>IF(C467="", "", IF(C467&gt;=900, "S", IF(C467&gt;=800, "A", IF(C467&gt;=700, "B", IF(C467&gt;=600, "C", IF(C467&gt;=500, "D", "F"))))))</f>
        <v/>
      </c>
    </row>
    <row r="468">
      <c r="B468" t="str">
        <f>IF(C468="", "", IF(C468&gt;=900, "S", IF(C468&gt;=800, "A", IF(C468&gt;=700, "B", IF(C468&gt;=600, "C", IF(C468&gt;=500, "D", "F"))))))</f>
        <v/>
      </c>
    </row>
    <row r="469">
      <c r="B469" t="str">
        <f>IF(C469="", "", IF(C469&gt;=900, "S", IF(C469&gt;=800, "A", IF(C469&gt;=700, "B", IF(C469&gt;=600, "C", IF(C469&gt;=500, "D", "F"))))))</f>
        <v/>
      </c>
    </row>
    <row r="470">
      <c r="B470" t="str">
        <f>IF(C470="", "", IF(C470&gt;=900, "S", IF(C470&gt;=800, "A", IF(C470&gt;=700, "B", IF(C470&gt;=600, "C", IF(C470&gt;=500, "D", "F"))))))</f>
        <v/>
      </c>
    </row>
    <row r="471">
      <c r="B471" t="str">
        <f>IF(C471="", "", IF(C471&gt;=900, "S", IF(C471&gt;=800, "A", IF(C471&gt;=700, "B", IF(C471&gt;=600, "C", IF(C471&gt;=500, "D", "F"))))))</f>
        <v/>
      </c>
    </row>
    <row r="472">
      <c r="B472" t="str">
        <f>IF(C472="", "", IF(C472&gt;=900, "S", IF(C472&gt;=800, "A", IF(C472&gt;=700, "B", IF(C472&gt;=600, "C", IF(C472&gt;=500, "D", "F"))))))</f>
        <v/>
      </c>
    </row>
    <row r="473">
      <c r="B473" t="str">
        <f>IF(C473="", "", IF(C473&gt;=900, "S", IF(C473&gt;=800, "A", IF(C473&gt;=700, "B", IF(C473&gt;=600, "C", IF(C473&gt;=500, "D", "F"))))))</f>
        <v/>
      </c>
    </row>
    <row r="474">
      <c r="B474" t="str">
        <f>IF(C474="", "", IF(C474&gt;=900, "S", IF(C474&gt;=800, "A", IF(C474&gt;=700, "B", IF(C474&gt;=600, "C", IF(C474&gt;=500, "D", "F"))))))</f>
        <v/>
      </c>
    </row>
    <row r="475">
      <c r="B475" t="str">
        <f>IF(C475="", "", IF(C475&gt;=900, "S", IF(C475&gt;=800, "A", IF(C475&gt;=700, "B", IF(C475&gt;=600, "C", IF(C475&gt;=500, "D", "F"))))))</f>
        <v/>
      </c>
    </row>
    <row r="476">
      <c r="B476" t="str">
        <f>IF(C476="", "", IF(C476&gt;=900, "S", IF(C476&gt;=800, "A", IF(C476&gt;=700, "B", IF(C476&gt;=600, "C", IF(C476&gt;=500, "D", "F"))))))</f>
        <v/>
      </c>
    </row>
    <row r="477">
      <c r="B477" t="str">
        <f>IF(C477="", "", IF(C477&gt;=900, "S", IF(C477&gt;=800, "A", IF(C477&gt;=700, "B", IF(C477&gt;=600, "C", IF(C477&gt;=500, "D", "F"))))))</f>
        <v/>
      </c>
    </row>
    <row r="478">
      <c r="B478" t="str">
        <f>IF(C478="", "", IF(C478&gt;=900, "S", IF(C478&gt;=800, "A", IF(C478&gt;=700, "B", IF(C478&gt;=600, "C", IF(C478&gt;=500, "D", "F"))))))</f>
        <v/>
      </c>
    </row>
    <row r="479">
      <c r="B479" t="str">
        <f>IF(C479="", "", IF(C479&gt;=900, "S", IF(C479&gt;=800, "A", IF(C479&gt;=700, "B", IF(C479&gt;=600, "C", IF(C479&gt;=500, "D", "F"))))))</f>
        <v/>
      </c>
    </row>
    <row r="480">
      <c r="B480" t="str">
        <f>IF(C480="", "", IF(C480&gt;=900, "S", IF(C480&gt;=800, "A", IF(C480&gt;=700, "B", IF(C480&gt;=600, "C", IF(C480&gt;=500, "D", "F"))))))</f>
        <v/>
      </c>
    </row>
    <row r="481">
      <c r="B481" t="str">
        <f>IF(C481="", "", IF(C481&gt;=900, "S", IF(C481&gt;=800, "A", IF(C481&gt;=700, "B", IF(C481&gt;=600, "C", IF(C481&gt;=500, "D", "F"))))))</f>
        <v/>
      </c>
    </row>
    <row r="482">
      <c r="B482" t="str">
        <f>IF(C482="", "", IF(C482&gt;=900, "S", IF(C482&gt;=800, "A", IF(C482&gt;=700, "B", IF(C482&gt;=600, "C", IF(C482&gt;=500, "D", "F"))))))</f>
        <v/>
      </c>
    </row>
    <row r="483">
      <c r="B483" t="str">
        <f>IF(C483="", "", IF(C483&gt;=900, "S", IF(C483&gt;=800, "A", IF(C483&gt;=700, "B", IF(C483&gt;=600, "C", IF(C483&gt;=500, "D", "F"))))))</f>
        <v/>
      </c>
    </row>
    <row r="484">
      <c r="B484" t="str">
        <f>IF(C484="", "", IF(C484&gt;=900, "S", IF(C484&gt;=800, "A", IF(C484&gt;=700, "B", IF(C484&gt;=600, "C", IF(C484&gt;=500, "D", "F"))))))</f>
        <v/>
      </c>
    </row>
    <row r="485">
      <c r="B485" t="str">
        <f>IF(C485="", "", IF(C485&gt;=900, "S", IF(C485&gt;=800, "A", IF(C485&gt;=700, "B", IF(C485&gt;=600, "C", IF(C485&gt;=500, "D", "F"))))))</f>
        <v/>
      </c>
    </row>
    <row r="486">
      <c r="B486" t="str">
        <f>IF(C486="", "", IF(C486&gt;=900, "S", IF(C486&gt;=800, "A", IF(C486&gt;=700, "B", IF(C486&gt;=600, "C", IF(C486&gt;=500, "D", "F"))))))</f>
        <v/>
      </c>
    </row>
    <row r="487">
      <c r="B487" t="str">
        <f>IF(C487="", "", IF(C487&gt;=900, "S", IF(C487&gt;=800, "A", IF(C487&gt;=700, "B", IF(C487&gt;=600, "C", IF(C487&gt;=500, "D", "F"))))))</f>
        <v/>
      </c>
    </row>
    <row r="488">
      <c r="B488" t="str">
        <f>IF(C488="", "", IF(C488&gt;=900, "S", IF(C488&gt;=800, "A", IF(C488&gt;=700, "B", IF(C488&gt;=600, "C", IF(C488&gt;=500, "D", "F"))))))</f>
        <v/>
      </c>
    </row>
    <row r="489">
      <c r="B489" t="str">
        <f>IF(C489="", "", IF(C489&gt;=900, "S", IF(C489&gt;=800, "A", IF(C489&gt;=700, "B", IF(C489&gt;=600, "C", IF(C489&gt;=500, "D", "F"))))))</f>
        <v/>
      </c>
    </row>
    <row r="490">
      <c r="B490" t="str">
        <f>IF(C490="", "", IF(C490&gt;=900, "S", IF(C490&gt;=800, "A", IF(C490&gt;=700, "B", IF(C490&gt;=600, "C", IF(C490&gt;=500, "D", "F"))))))</f>
        <v/>
      </c>
    </row>
    <row r="491">
      <c r="B491" t="str">
        <f>IF(C491="", "", IF(C491&gt;=900, "S", IF(C491&gt;=800, "A", IF(C491&gt;=700, "B", IF(C491&gt;=600, "C", IF(C491&gt;=500, "D", "F"))))))</f>
        <v/>
      </c>
    </row>
    <row r="492">
      <c r="B492" t="str">
        <f>IF(C492="", "", IF(C492&gt;=900, "S", IF(C492&gt;=800, "A", IF(C492&gt;=700, "B", IF(C492&gt;=600, "C", IF(C492&gt;=500, "D", "F"))))))</f>
        <v/>
      </c>
    </row>
    <row r="493">
      <c r="B493" t="str">
        <f>IF(C493="", "", IF(C493&gt;=900, "S", IF(C493&gt;=800, "A", IF(C493&gt;=700, "B", IF(C493&gt;=600, "C", IF(C493&gt;=500, "D", "F"))))))</f>
        <v/>
      </c>
    </row>
    <row r="494">
      <c r="B494" t="str">
        <f>IF(C494="", "", IF(C494&gt;=900, "S", IF(C494&gt;=800, "A", IF(C494&gt;=700, "B", IF(C494&gt;=600, "C", IF(C494&gt;=500, "D", "F"))))))</f>
        <v/>
      </c>
    </row>
    <row r="495">
      <c r="B495" t="str">
        <f>IF(C495="", "", IF(C495&gt;=900, "S", IF(C495&gt;=800, "A", IF(C495&gt;=700, "B", IF(C495&gt;=600, "C", IF(C495&gt;=500, "D", "F"))))))</f>
        <v/>
      </c>
    </row>
    <row r="496">
      <c r="B496" t="str">
        <f>IF(C496="", "", IF(C496&gt;=900, "S", IF(C496&gt;=800, "A", IF(C496&gt;=700, "B", IF(C496&gt;=600, "C", IF(C496&gt;=500, "D", "F"))))))</f>
        <v/>
      </c>
    </row>
    <row r="497">
      <c r="B497" t="str">
        <f>IF(C497="", "", IF(C497&gt;=900, "S", IF(C497&gt;=800, "A", IF(C497&gt;=700, "B", IF(C497&gt;=600, "C", IF(C497&gt;=500, "D", "F"))))))</f>
        <v/>
      </c>
    </row>
    <row r="498">
      <c r="B498" t="str">
        <f>IF(C498="", "", IF(C498&gt;=900, "S", IF(C498&gt;=800, "A", IF(C498&gt;=700, "B", IF(C498&gt;=600, "C", IF(C498&gt;=500, "D", "F"))))))</f>
        <v/>
      </c>
    </row>
    <row r="499">
      <c r="B499" t="str">
        <f>IF(C499="", "", IF(C499&gt;=900, "S", IF(C499&gt;=800, "A", IF(C499&gt;=700, "B", IF(C499&gt;=600, "C", IF(C499&gt;=500, "D", "F"))))))</f>
        <v/>
      </c>
    </row>
    <row r="500">
      <c r="B500" t="str">
        <f>IF(C500="", "", IF(C500&gt;=900, "S", IF(C500&gt;=800, "A", IF(C500&gt;=700, "B", IF(C500&gt;=600, "C", IF(C500&gt;=500, "D", "F"))))))</f>
        <v/>
      </c>
    </row>
    <row r="501">
      <c r="B501" t="str">
        <f>IF(C501="", "", IF(C501&gt;=900, "S", IF(C501&gt;=800, "A", IF(C501&gt;=700, "B", IF(C501&gt;=600, "C", IF(C501&gt;=500, "D", "F"))))))</f>
        <v/>
      </c>
    </row>
    <row r="502">
      <c r="B502" t="str">
        <f>IF(C502="", "", IF(C502&gt;=900, "S", IF(C502&gt;=800, "A", IF(C502&gt;=700, "B", IF(C502&gt;=600, "C", IF(C502&gt;=500, "D", "F"))))))</f>
        <v/>
      </c>
    </row>
    <row r="503">
      <c r="B503" t="str">
        <f>IF(C503="", "", IF(C503&gt;=900, "S", IF(C503&gt;=800, "A", IF(C503&gt;=700, "B", IF(C503&gt;=600, "C", IF(C503&gt;=500, "D", "F"))))))</f>
        <v/>
      </c>
    </row>
    <row r="504">
      <c r="B504" t="str">
        <f>IF(C504="", "", IF(C504&gt;=900, "S", IF(C504&gt;=800, "A", IF(C504&gt;=700, "B", IF(C504&gt;=600, "C", IF(C504&gt;=500, "D", "F"))))))</f>
        <v/>
      </c>
    </row>
    <row r="505">
      <c r="B505" t="str">
        <f>IF(C505="", "", IF(C505&gt;=900, "S", IF(C505&gt;=800, "A", IF(C505&gt;=700, "B", IF(C505&gt;=600, "C", IF(C505&gt;=500, "D", "F"))))))</f>
        <v/>
      </c>
    </row>
    <row r="506">
      <c r="B506" t="str">
        <f>IF(C506="", "", IF(C506&gt;=900, "S", IF(C506&gt;=800, "A", IF(C506&gt;=700, "B", IF(C506&gt;=600, "C", IF(C506&gt;=500, "D", "F"))))))</f>
        <v/>
      </c>
    </row>
    <row r="507">
      <c r="B507" t="str">
        <f>IF(C507="", "", IF(C507&gt;=900, "S", IF(C507&gt;=800, "A", IF(C507&gt;=700, "B", IF(C507&gt;=600, "C", IF(C507&gt;=500, "D", "F"))))))</f>
        <v/>
      </c>
    </row>
    <row r="508">
      <c r="B508" t="str">
        <f>IF(C508="", "", IF(C508&gt;=900, "S", IF(C508&gt;=800, "A", IF(C508&gt;=700, "B", IF(C508&gt;=600, "C", IF(C508&gt;=500, "D", "F"))))))</f>
        <v/>
      </c>
    </row>
    <row r="509">
      <c r="B509" t="str">
        <f>IF(C509="", "", IF(C509&gt;=900, "S", IF(C509&gt;=800, "A", IF(C509&gt;=700, "B", IF(C509&gt;=600, "C", IF(C509&gt;=500, "D", "F"))))))</f>
        <v/>
      </c>
    </row>
    <row r="510">
      <c r="B510" t="str">
        <f>IF(C510="", "", IF(C510&gt;=900, "S", IF(C510&gt;=800, "A", IF(C510&gt;=700, "B", IF(C510&gt;=600, "C", IF(C510&gt;=500, "D", "F"))))))</f>
        <v/>
      </c>
    </row>
    <row r="511">
      <c r="B511" t="str">
        <f>IF(C511="", "", IF(C511&gt;=900, "S", IF(C511&gt;=800, "A", IF(C511&gt;=700, "B", IF(C511&gt;=600, "C", IF(C511&gt;=500, "D", "F"))))))</f>
        <v/>
      </c>
    </row>
    <row r="512">
      <c r="B512" t="str">
        <f>IF(C512="", "", IF(C512&gt;=900, "S", IF(C512&gt;=800, "A", IF(C512&gt;=700, "B", IF(C512&gt;=600, "C", IF(C512&gt;=500, "D", "F"))))))</f>
        <v/>
      </c>
    </row>
    <row r="513">
      <c r="B513" t="str">
        <f>IF(C513="", "", IF(C513&gt;=900, "S", IF(C513&gt;=800, "A", IF(C513&gt;=700, "B", IF(C513&gt;=600, "C", IF(C513&gt;=500, "D", "F"))))))</f>
        <v/>
      </c>
    </row>
    <row r="514">
      <c r="B514" t="str">
        <f>IF(C514="", "", IF(C514&gt;=900, "S", IF(C514&gt;=800, "A", IF(C514&gt;=700, "B", IF(C514&gt;=600, "C", IF(C514&gt;=500, "D", "F"))))))</f>
        <v/>
      </c>
    </row>
    <row r="515">
      <c r="B515" t="str">
        <f>IF(C515="", "", IF(C515&gt;=900, "S", IF(C515&gt;=800, "A", IF(C515&gt;=700, "B", IF(C515&gt;=600, "C", IF(C515&gt;=500, "D", "F"))))))</f>
        <v/>
      </c>
    </row>
    <row r="516">
      <c r="B516" t="str">
        <f>IF(C516="", "", IF(C516&gt;=900, "S", IF(C516&gt;=800, "A", IF(C516&gt;=700, "B", IF(C516&gt;=600, "C", IF(C516&gt;=500, "D", "F"))))))</f>
        <v/>
      </c>
    </row>
    <row r="517">
      <c r="B517" t="str">
        <f>IF(C517="", "", IF(C517&gt;=900, "S", IF(C517&gt;=800, "A", IF(C517&gt;=700, "B", IF(C517&gt;=600, "C", IF(C517&gt;=500, "D", "F"))))))</f>
        <v/>
      </c>
    </row>
    <row r="518">
      <c r="B518" t="str">
        <f>IF(C518="", "", IF(C518&gt;=900, "S", IF(C518&gt;=800, "A", IF(C518&gt;=700, "B", IF(C518&gt;=600, "C", IF(C518&gt;=500, "D", "F"))))))</f>
        <v/>
      </c>
    </row>
    <row r="519">
      <c r="B519" t="str">
        <f>IF(C519="", "", IF(C519&gt;=900, "S", IF(C519&gt;=800, "A", IF(C519&gt;=700, "B", IF(C519&gt;=600, "C", IF(C519&gt;=500, "D", "F"))))))</f>
        <v/>
      </c>
    </row>
    <row r="520">
      <c r="B520" t="str">
        <f>IF(C520="", "", IF(C520&gt;=900, "S", IF(C520&gt;=800, "A", IF(C520&gt;=700, "B", IF(C520&gt;=600, "C", IF(C520&gt;=500, "D", "F"))))))</f>
        <v/>
      </c>
    </row>
    <row r="521">
      <c r="B521" t="str">
        <f>IF(C521="", "", IF(C521&gt;=900, "S", IF(C521&gt;=800, "A", IF(C521&gt;=700, "B", IF(C521&gt;=600, "C", IF(C521&gt;=500, "D", "F"))))))</f>
        <v/>
      </c>
    </row>
    <row r="522">
      <c r="B522" t="str">
        <f>IF(C522="", "", IF(C522&gt;=900, "S", IF(C522&gt;=800, "A", IF(C522&gt;=700, "B", IF(C522&gt;=600, "C", IF(C522&gt;=500, "D", "F"))))))</f>
        <v/>
      </c>
    </row>
    <row r="523">
      <c r="B523" t="str">
        <f>IF(C523="", "", IF(C523&gt;=900, "S", IF(C523&gt;=800, "A", IF(C523&gt;=700, "B", IF(C523&gt;=600, "C", IF(C523&gt;=500, "D", "F"))))))</f>
        <v/>
      </c>
    </row>
    <row r="524">
      <c r="B524" t="str">
        <f>IF(C524="", "", IF(C524&gt;=900, "S", IF(C524&gt;=800, "A", IF(C524&gt;=700, "B", IF(C524&gt;=600, "C", IF(C524&gt;=500, "D", "F"))))))</f>
        <v/>
      </c>
    </row>
    <row r="525">
      <c r="B525" t="str">
        <f>IF(C525="", "", IF(C525&gt;=900, "S", IF(C525&gt;=800, "A", IF(C525&gt;=700, "B", IF(C525&gt;=600, "C", IF(C525&gt;=500, "D", "F"))))))</f>
        <v/>
      </c>
    </row>
    <row r="526">
      <c r="B526" t="str">
        <f>IF(C526="", "", IF(C526&gt;=900, "S", IF(C526&gt;=800, "A", IF(C526&gt;=700, "B", IF(C526&gt;=600, "C", IF(C526&gt;=500, "D", "F"))))))</f>
        <v/>
      </c>
    </row>
    <row r="527">
      <c r="B527" t="str">
        <f>IF(C527="", "", IF(C527&gt;=900, "S", IF(C527&gt;=800, "A", IF(C527&gt;=700, "B", IF(C527&gt;=600, "C", IF(C527&gt;=500, "D", "F"))))))</f>
        <v/>
      </c>
    </row>
    <row r="528">
      <c r="B528" t="str">
        <f>IF(C528="", "", IF(C528&gt;=900, "S", IF(C528&gt;=800, "A", IF(C528&gt;=700, "B", IF(C528&gt;=600, "C", IF(C528&gt;=500, "D", "F"))))))</f>
        <v/>
      </c>
    </row>
    <row r="529">
      <c r="B529" t="str">
        <f>IF(C529="", "", IF(C529&gt;=900, "S", IF(C529&gt;=800, "A", IF(C529&gt;=700, "B", IF(C529&gt;=600, "C", IF(C529&gt;=500, "D", "F"))))))</f>
        <v/>
      </c>
    </row>
    <row r="530">
      <c r="B530" t="str">
        <f>IF(C530="", "", IF(C530&gt;=900, "S", IF(C530&gt;=800, "A", IF(C530&gt;=700, "B", IF(C530&gt;=600, "C", IF(C530&gt;=500, "D", "F"))))))</f>
        <v/>
      </c>
    </row>
    <row r="531">
      <c r="B531" t="str">
        <f>IF(C531="", "", IF(C531&gt;=900, "S", IF(C531&gt;=800, "A", IF(C531&gt;=700, "B", IF(C531&gt;=600, "C", IF(C531&gt;=500, "D", "F"))))))</f>
        <v/>
      </c>
    </row>
    <row r="532">
      <c r="B532" t="str">
        <f>IF(C532="", "", IF(C532&gt;=900, "S", IF(C532&gt;=800, "A", IF(C532&gt;=700, "B", IF(C532&gt;=600, "C", IF(C532&gt;=500, "D", "F"))))))</f>
        <v/>
      </c>
    </row>
    <row r="533">
      <c r="B533" t="str">
        <f>IF(C533="", "", IF(C533&gt;=900, "S", IF(C533&gt;=800, "A", IF(C533&gt;=700, "B", IF(C533&gt;=600, "C", IF(C533&gt;=500, "D", "F"))))))</f>
        <v/>
      </c>
    </row>
    <row r="534">
      <c r="B534" t="str">
        <f>IF(C534="", "", IF(C534&gt;=900, "S", IF(C534&gt;=800, "A", IF(C534&gt;=700, "B", IF(C534&gt;=600, "C", IF(C534&gt;=500, "D", "F"))))))</f>
        <v/>
      </c>
    </row>
    <row r="535">
      <c r="B535" t="str">
        <f>IF(C535="", "", IF(C535&gt;=900, "S", IF(C535&gt;=800, "A", IF(C535&gt;=700, "B", IF(C535&gt;=600, "C", IF(C535&gt;=500, "D", "F"))))))</f>
        <v/>
      </c>
    </row>
    <row r="536">
      <c r="B536" t="str">
        <f>IF(C536="", "", IF(C536&gt;=900, "S", IF(C536&gt;=800, "A", IF(C536&gt;=700, "B", IF(C536&gt;=600, "C", IF(C536&gt;=500, "D", "F"))))))</f>
        <v/>
      </c>
    </row>
    <row r="537">
      <c r="B537" t="str">
        <f>IF(C537="", "", IF(C537&gt;=900, "S", IF(C537&gt;=800, "A", IF(C537&gt;=700, "B", IF(C537&gt;=600, "C", IF(C537&gt;=500, "D", "F"))))))</f>
        <v/>
      </c>
    </row>
    <row r="538">
      <c r="B538" t="str">
        <f>IF(C538="", "", IF(C538&gt;=900, "S", IF(C538&gt;=800, "A", IF(C538&gt;=700, "B", IF(C538&gt;=600, "C", IF(C538&gt;=500, "D", "F"))))))</f>
        <v/>
      </c>
    </row>
    <row r="539">
      <c r="B539" t="str">
        <f>IF(C539="", "", IF(C539&gt;=900, "S", IF(C539&gt;=800, "A", IF(C539&gt;=700, "B", IF(C539&gt;=600, "C", IF(C539&gt;=500, "D", "F"))))))</f>
        <v/>
      </c>
    </row>
    <row r="540">
      <c r="B540" t="str">
        <f>IF(C540="", "", IF(C540&gt;=900, "S", IF(C540&gt;=800, "A", IF(C540&gt;=700, "B", IF(C540&gt;=600, "C", IF(C540&gt;=500, "D", "F"))))))</f>
        <v/>
      </c>
    </row>
    <row r="541">
      <c r="B541" t="str">
        <f>IF(C541="", "", IF(C541&gt;=900, "S", IF(C541&gt;=800, "A", IF(C541&gt;=700, "B", IF(C541&gt;=600, "C", IF(C541&gt;=500, "D", "F"))))))</f>
        <v/>
      </c>
    </row>
    <row r="542">
      <c r="B542" t="str">
        <f>IF(C542="", "", IF(C542&gt;=900, "S", IF(C542&gt;=800, "A", IF(C542&gt;=700, "B", IF(C542&gt;=600, "C", IF(C542&gt;=500, "D", "F"))))))</f>
        <v/>
      </c>
    </row>
    <row r="543">
      <c r="B543" t="str">
        <f>IF(C543="", "", IF(C543&gt;=900, "S", IF(C543&gt;=800, "A", IF(C543&gt;=700, "B", IF(C543&gt;=600, "C", IF(C543&gt;=500, "D", "F"))))))</f>
        <v/>
      </c>
    </row>
    <row r="544">
      <c r="B544" t="str">
        <f>IF(C544="", "", IF(C544&gt;=900, "S", IF(C544&gt;=800, "A", IF(C544&gt;=700, "B", IF(C544&gt;=600, "C", IF(C544&gt;=500, "D", "F"))))))</f>
        <v/>
      </c>
    </row>
    <row r="545">
      <c r="B545" t="str">
        <f>IF(C545="", "", IF(C545&gt;=900, "S", IF(C545&gt;=800, "A", IF(C545&gt;=700, "B", IF(C545&gt;=600, "C", IF(C545&gt;=500, "D", "F"))))))</f>
        <v/>
      </c>
    </row>
    <row r="546">
      <c r="B546" t="str">
        <f>IF(C546="", "", IF(C546&gt;=900, "S", IF(C546&gt;=800, "A", IF(C546&gt;=700, "B", IF(C546&gt;=600, "C", IF(C546&gt;=500, "D", "F"))))))</f>
        <v/>
      </c>
    </row>
    <row r="547">
      <c r="B547" t="str">
        <f>IF(C547="", "", IF(C547&gt;=900, "S", IF(C547&gt;=800, "A", IF(C547&gt;=700, "B", IF(C547&gt;=600, "C", IF(C547&gt;=500, "D", "F"))))))</f>
        <v/>
      </c>
    </row>
    <row r="548">
      <c r="B548" t="str">
        <f>IF(C548="", "", IF(C548&gt;=900, "S", IF(C548&gt;=800, "A", IF(C548&gt;=700, "B", IF(C548&gt;=600, "C", IF(C548&gt;=500, "D", "F"))))))</f>
        <v/>
      </c>
    </row>
    <row r="549">
      <c r="B549" t="str">
        <f>IF(C549="", "", IF(C549&gt;=900, "S", IF(C549&gt;=800, "A", IF(C549&gt;=700, "B", IF(C549&gt;=600, "C", IF(C549&gt;=500, "D", "F"))))))</f>
        <v/>
      </c>
    </row>
    <row r="550">
      <c r="B550" t="str">
        <f>IF(C550="", "", IF(C550&gt;=900, "S", IF(C550&gt;=800, "A", IF(C550&gt;=700, "B", IF(C550&gt;=600, "C", IF(C550&gt;=500, "D", "F"))))))</f>
        <v/>
      </c>
    </row>
    <row r="551">
      <c r="B551" t="str">
        <f>IF(C551="", "", IF(C551&gt;=900, "S", IF(C551&gt;=800, "A", IF(C551&gt;=700, "B", IF(C551&gt;=600, "C", IF(C551&gt;=500, "D", "F"))))))</f>
        <v/>
      </c>
    </row>
    <row r="552">
      <c r="B552" t="str">
        <f>IF(C552="", "", IF(C552&gt;=900, "S", IF(C552&gt;=800, "A", IF(C552&gt;=700, "B", IF(C552&gt;=600, "C", IF(C552&gt;=500, "D", "F"))))))</f>
        <v/>
      </c>
    </row>
    <row r="553">
      <c r="B553" t="str">
        <f>IF(C553="", "", IF(C553&gt;=900, "S", IF(C553&gt;=800, "A", IF(C553&gt;=700, "B", IF(C553&gt;=600, "C", IF(C553&gt;=500, "D", "F"))))))</f>
        <v/>
      </c>
    </row>
    <row r="554">
      <c r="B554" t="str">
        <f>IF(C554="", "", IF(C554&gt;=900, "S", IF(C554&gt;=800, "A", IF(C554&gt;=700, "B", IF(C554&gt;=600, "C", IF(C554&gt;=500, "D", "F"))))))</f>
        <v/>
      </c>
    </row>
    <row r="555">
      <c r="B555" t="str">
        <f>IF(C555="", "", IF(C555&gt;=900, "S", IF(C555&gt;=800, "A", IF(C555&gt;=700, "B", IF(C555&gt;=600, "C", IF(C555&gt;=500, "D", "F"))))))</f>
        <v/>
      </c>
    </row>
    <row r="556">
      <c r="B556" t="str">
        <f>IF(C556="", "", IF(C556&gt;=900, "S", IF(C556&gt;=800, "A", IF(C556&gt;=700, "B", IF(C556&gt;=600, "C", IF(C556&gt;=500, "D", "F"))))))</f>
        <v/>
      </c>
    </row>
    <row r="557">
      <c r="B557" t="str">
        <f>IF(C557="", "", IF(C557&gt;=900, "S", IF(C557&gt;=800, "A", IF(C557&gt;=700, "B", IF(C557&gt;=600, "C", IF(C557&gt;=500, "D", "F"))))))</f>
        <v/>
      </c>
    </row>
    <row r="558">
      <c r="B558" t="str">
        <f>IF(C558="", "", IF(C558&gt;=900, "S", IF(C558&gt;=800, "A", IF(C558&gt;=700, "B", IF(C558&gt;=600, "C", IF(C558&gt;=500, "D", "F"))))))</f>
        <v/>
      </c>
    </row>
    <row r="559">
      <c r="B559" t="str">
        <f>IF(C559="", "", IF(C559&gt;=900, "S", IF(C559&gt;=800, "A", IF(C559&gt;=700, "B", IF(C559&gt;=600, "C", IF(C559&gt;=500, "D", "F"))))))</f>
        <v/>
      </c>
    </row>
    <row r="560">
      <c r="B560" t="str">
        <f>IF(C560="", "", IF(C560&gt;=900, "S", IF(C560&gt;=800, "A", IF(C560&gt;=700, "B", IF(C560&gt;=600, "C", IF(C560&gt;=500, "D", "F"))))))</f>
        <v/>
      </c>
    </row>
    <row r="561">
      <c r="B561" t="str">
        <f>IF(C561="", "", IF(C561&gt;=900, "S", IF(C561&gt;=800, "A", IF(C561&gt;=700, "B", IF(C561&gt;=600, "C", IF(C561&gt;=500, "D", "F"))))))</f>
        <v/>
      </c>
    </row>
    <row r="562">
      <c r="B562" t="str">
        <f>IF(C562="", "", IF(C562&gt;=900, "S", IF(C562&gt;=800, "A", IF(C562&gt;=700, "B", IF(C562&gt;=600, "C", IF(C562&gt;=500, "D", "F"))))))</f>
        <v/>
      </c>
    </row>
    <row r="563">
      <c r="B563" t="str">
        <f>IF(C563="", "", IF(C563&gt;=900, "S", IF(C563&gt;=800, "A", IF(C563&gt;=700, "B", IF(C563&gt;=600, "C", IF(C563&gt;=500, "D", "F"))))))</f>
        <v/>
      </c>
    </row>
    <row r="564">
      <c r="B564" t="str">
        <f>IF(C564="", "", IF(C564&gt;=900, "S", IF(C564&gt;=800, "A", IF(C564&gt;=700, "B", IF(C564&gt;=600, "C", IF(C564&gt;=500, "D", "F"))))))</f>
        <v/>
      </c>
    </row>
    <row r="565">
      <c r="B565" t="str">
        <f>IF(C565="", "", IF(C565&gt;=900, "S", IF(C565&gt;=800, "A", IF(C565&gt;=700, "B", IF(C565&gt;=600, "C", IF(C565&gt;=500, "D", "F"))))))</f>
        <v/>
      </c>
    </row>
    <row r="566">
      <c r="B566" t="str">
        <f>IF(C566="", "", IF(C566&gt;=900, "S", IF(C566&gt;=800, "A", IF(C566&gt;=700, "B", IF(C566&gt;=600, "C", IF(C566&gt;=500, "D", "F"))))))</f>
        <v/>
      </c>
    </row>
    <row r="567">
      <c r="B567" t="str">
        <f>IF(C567="", "", IF(C567&gt;=900, "S", IF(C567&gt;=800, "A", IF(C567&gt;=700, "B", IF(C567&gt;=600, "C", IF(C567&gt;=500, "D", "F"))))))</f>
        <v/>
      </c>
    </row>
    <row r="568">
      <c r="B568" t="str">
        <f>IF(C568="", "", IF(C568&gt;=900, "S", IF(C568&gt;=800, "A", IF(C568&gt;=700, "B", IF(C568&gt;=600, "C", IF(C568&gt;=500, "D", "F"))))))</f>
        <v/>
      </c>
    </row>
    <row r="569">
      <c r="B569" t="str">
        <f>IF(C569="", "", IF(C569&gt;=900, "S", IF(C569&gt;=800, "A", IF(C569&gt;=700, "B", IF(C569&gt;=600, "C", IF(C569&gt;=500, "D", "F"))))))</f>
        <v/>
      </c>
    </row>
    <row r="570">
      <c r="B570" t="str">
        <f>IF(C570="", "", IF(C570&gt;=900, "S", IF(C570&gt;=800, "A", IF(C570&gt;=700, "B", IF(C570&gt;=600, "C", IF(C570&gt;=500, "D", "F"))))))</f>
        <v/>
      </c>
    </row>
    <row r="571">
      <c r="B571" t="str">
        <f>IF(C571="", "", IF(C571&gt;=900, "S", IF(C571&gt;=800, "A", IF(C571&gt;=700, "B", IF(C571&gt;=600, "C", IF(C571&gt;=500, "D", "F"))))))</f>
        <v/>
      </c>
    </row>
    <row r="572">
      <c r="B572" t="str">
        <f>IF(C572="", "", IF(C572&gt;=900, "S", IF(C572&gt;=800, "A", IF(C572&gt;=700, "B", IF(C572&gt;=600, "C", IF(C572&gt;=500, "D", "F"))))))</f>
        <v/>
      </c>
    </row>
    <row r="573">
      <c r="B573" t="str">
        <f>IF(C573="", "", IF(C573&gt;=900, "S", IF(C573&gt;=800, "A", IF(C573&gt;=700, "B", IF(C573&gt;=600, "C", IF(C573&gt;=500, "D", "F"))))))</f>
        <v/>
      </c>
    </row>
    <row r="574">
      <c r="B574" t="str">
        <f>IF(C574="", "", IF(C574&gt;=900, "S", IF(C574&gt;=800, "A", IF(C574&gt;=700, "B", IF(C574&gt;=600, "C", IF(C574&gt;=500, "D", "F"))))))</f>
        <v/>
      </c>
    </row>
    <row r="575">
      <c r="B575" t="str">
        <f>IF(C575="", "", IF(C575&gt;=900, "S", IF(C575&gt;=800, "A", IF(C575&gt;=700, "B", IF(C575&gt;=600, "C", IF(C575&gt;=500, "D", "F"))))))</f>
        <v/>
      </c>
    </row>
    <row r="576">
      <c r="B576" t="str">
        <f>IF(C576="", "", IF(C576&gt;=900, "S", IF(C576&gt;=800, "A", IF(C576&gt;=700, "B", IF(C576&gt;=600, "C", IF(C576&gt;=500, "D", "F"))))))</f>
        <v/>
      </c>
    </row>
    <row r="577">
      <c r="B577" t="str">
        <f>IF(C577="", "", IF(C577&gt;=900, "S", IF(C577&gt;=800, "A", IF(C577&gt;=700, "B", IF(C577&gt;=600, "C", IF(C577&gt;=500, "D", "F"))))))</f>
        <v/>
      </c>
    </row>
    <row r="578">
      <c r="B578" t="str">
        <f>IF(C578="", "", IF(C578&gt;=900, "S", IF(C578&gt;=800, "A", IF(C578&gt;=700, "B", IF(C578&gt;=600, "C", IF(C578&gt;=500, "D", "F"))))))</f>
        <v/>
      </c>
    </row>
    <row r="579">
      <c r="B579" t="str">
        <f>IF(C579="", "", IF(C579&gt;=900, "S", IF(C579&gt;=800, "A", IF(C579&gt;=700, "B", IF(C579&gt;=600, "C", IF(C579&gt;=500, "D", "F"))))))</f>
        <v/>
      </c>
    </row>
    <row r="580">
      <c r="B580" t="str">
        <f>IF(C580="", "", IF(C580&gt;=900, "S", IF(C580&gt;=800, "A", IF(C580&gt;=700, "B", IF(C580&gt;=600, "C", IF(C580&gt;=500, "D", "F"))))))</f>
        <v/>
      </c>
    </row>
    <row r="581">
      <c r="B581" t="str">
        <f>IF(C581="", "", IF(C581&gt;=900, "S", IF(C581&gt;=800, "A", IF(C581&gt;=700, "B", IF(C581&gt;=600, "C", IF(C581&gt;=500, "D", "F"))))))</f>
        <v/>
      </c>
    </row>
    <row r="582">
      <c r="B582" t="str">
        <f>IF(C582="", "", IF(C582&gt;=900, "S", IF(C582&gt;=800, "A", IF(C582&gt;=700, "B", IF(C582&gt;=600, "C", IF(C582&gt;=500, "D", "F"))))))</f>
        <v/>
      </c>
    </row>
    <row r="583">
      <c r="B583" t="str">
        <f>IF(C583="", "", IF(C583&gt;=900, "S", IF(C583&gt;=800, "A", IF(C583&gt;=700, "B", IF(C583&gt;=600, "C", IF(C583&gt;=500, "D", "F"))))))</f>
        <v/>
      </c>
    </row>
    <row r="584">
      <c r="B584" t="str">
        <f>IF(C584="", "", IF(C584&gt;=900, "S", IF(C584&gt;=800, "A", IF(C584&gt;=700, "B", IF(C584&gt;=600, "C", IF(C584&gt;=500, "D", "F"))))))</f>
        <v/>
      </c>
    </row>
    <row r="585">
      <c r="B585" t="str">
        <f>IF(C585="", "", IF(C585&gt;=900, "S", IF(C585&gt;=800, "A", IF(C585&gt;=700, "B", IF(C585&gt;=600, "C", IF(C585&gt;=500, "D", "F"))))))</f>
        <v/>
      </c>
    </row>
    <row r="586">
      <c r="B586" t="str">
        <f>IF(C586="", "", IF(C586&gt;=900, "S", IF(C586&gt;=800, "A", IF(C586&gt;=700, "B", IF(C586&gt;=600, "C", IF(C586&gt;=500, "D", "F"))))))</f>
        <v/>
      </c>
    </row>
    <row r="587">
      <c r="B587" t="str">
        <f>IF(C587="", "", IF(C587&gt;=900, "S", IF(C587&gt;=800, "A", IF(C587&gt;=700, "B", IF(C587&gt;=600, "C", IF(C587&gt;=500, "D", "F"))))))</f>
        <v/>
      </c>
    </row>
    <row r="588">
      <c r="B588" t="str">
        <f>IF(C588="", "", IF(C588&gt;=900, "S", IF(C588&gt;=800, "A", IF(C588&gt;=700, "B", IF(C588&gt;=600, "C", IF(C588&gt;=500, "D", "F"))))))</f>
        <v/>
      </c>
    </row>
    <row r="589">
      <c r="B589" t="str">
        <f>IF(C589="", "", IF(C589&gt;=900, "S", IF(C589&gt;=800, "A", IF(C589&gt;=700, "B", IF(C589&gt;=600, "C", IF(C589&gt;=500, "D", "F"))))))</f>
        <v/>
      </c>
    </row>
    <row r="590">
      <c r="B590" t="str">
        <f>IF(C590="", "", IF(C590&gt;=900, "S", IF(C590&gt;=800, "A", IF(C590&gt;=700, "B", IF(C590&gt;=600, "C", IF(C590&gt;=500, "D", "F"))))))</f>
        <v/>
      </c>
    </row>
    <row r="591">
      <c r="B591" t="str">
        <f>IF(C591="", "", IF(C591&gt;=900, "S", IF(C591&gt;=800, "A", IF(C591&gt;=700, "B", IF(C591&gt;=600, "C", IF(C591&gt;=500, "D", "F"))))))</f>
        <v/>
      </c>
    </row>
    <row r="592">
      <c r="B592" t="str">
        <f>IF(C592="", "", IF(C592&gt;=900, "S", IF(C592&gt;=800, "A", IF(C592&gt;=700, "B", IF(C592&gt;=600, "C", IF(C592&gt;=500, "D", "F"))))))</f>
        <v/>
      </c>
    </row>
    <row r="593">
      <c r="B593" t="str">
        <f>IF(C593="", "", IF(C593&gt;=900, "S", IF(C593&gt;=800, "A", IF(C593&gt;=700, "B", IF(C593&gt;=600, "C", IF(C593&gt;=500, "D", "F"))))))</f>
        <v/>
      </c>
    </row>
    <row r="594">
      <c r="B594" t="str">
        <f>IF(C594="", "", IF(C594&gt;=900, "S", IF(C594&gt;=800, "A", IF(C594&gt;=700, "B", IF(C594&gt;=600, "C", IF(C594&gt;=500, "D", "F"))))))</f>
        <v/>
      </c>
    </row>
    <row r="595">
      <c r="B595" t="str">
        <f>IF(C595="", "", IF(C595&gt;=900, "S", IF(C595&gt;=800, "A", IF(C595&gt;=700, "B", IF(C595&gt;=600, "C", IF(C595&gt;=500, "D", "F"))))))</f>
        <v/>
      </c>
    </row>
    <row r="596">
      <c r="B596" t="str">
        <f>IF(C596="", "", IF(C596&gt;=900, "S", IF(C596&gt;=800, "A", IF(C596&gt;=700, "B", IF(C596&gt;=600, "C", IF(C596&gt;=500, "D", "F"))))))</f>
        <v/>
      </c>
    </row>
    <row r="597">
      <c r="B597" t="str">
        <f>IF(C597="", "", IF(C597&gt;=900, "S", IF(C597&gt;=800, "A", IF(C597&gt;=700, "B", IF(C597&gt;=600, "C", IF(C597&gt;=500, "D", "F"))))))</f>
        <v/>
      </c>
    </row>
    <row r="598">
      <c r="B598" t="str">
        <f>IF(C598="", "", IF(C598&gt;=900, "S", IF(C598&gt;=800, "A", IF(C598&gt;=700, "B", IF(C598&gt;=600, "C", IF(C598&gt;=500, "D", "F"))))))</f>
        <v/>
      </c>
    </row>
    <row r="599">
      <c r="B599" t="str">
        <f>IF(C599="", "", IF(C599&gt;=900, "S", IF(C599&gt;=800, "A", IF(C599&gt;=700, "B", IF(C599&gt;=600, "C", IF(C599&gt;=500, "D", "F"))))))</f>
        <v/>
      </c>
    </row>
    <row r="600">
      <c r="B600" t="str">
        <f>IF(C600="", "", IF(C600&gt;=900, "S", IF(C600&gt;=800, "A", IF(C600&gt;=700, "B", IF(C600&gt;=600, "C", IF(C600&gt;=500, "D", "F"))))))</f>
        <v/>
      </c>
    </row>
    <row r="601">
      <c r="B601" t="str">
        <f>IF(C601="", "", IF(C601&gt;=900, "S", IF(C601&gt;=800, "A", IF(C601&gt;=700, "B", IF(C601&gt;=600, "C", IF(C601&gt;=500, "D", "F"))))))</f>
        <v/>
      </c>
    </row>
    <row r="602">
      <c r="B602" t="str">
        <f>IF(C602="", "", IF(C602&gt;=900, "S", IF(C602&gt;=800, "A", IF(C602&gt;=700, "B", IF(C602&gt;=600, "C", IF(C602&gt;=500, "D", "F"))))))</f>
        <v/>
      </c>
    </row>
    <row r="603">
      <c r="B603" t="str">
        <f>IF(C603="", "", IF(C603&gt;=900, "S", IF(C603&gt;=800, "A", IF(C603&gt;=700, "B", IF(C603&gt;=600, "C", IF(C603&gt;=500, "D", "F"))))))</f>
        <v/>
      </c>
    </row>
    <row r="604">
      <c r="B604" t="str">
        <f>IF(C604="", "", IF(C604&gt;=900, "S", IF(C604&gt;=800, "A", IF(C604&gt;=700, "B", IF(C604&gt;=600, "C", IF(C604&gt;=500, "D", "F"))))))</f>
        <v/>
      </c>
    </row>
    <row r="605">
      <c r="B605" t="str">
        <f>IF(C605="", "", IF(C605&gt;=900, "S", IF(C605&gt;=800, "A", IF(C605&gt;=700, "B", IF(C605&gt;=600, "C", IF(C605&gt;=500, "D", "F"))))))</f>
        <v/>
      </c>
    </row>
    <row r="606">
      <c r="B606" t="str">
        <f>IF(C606="", "", IF(C606&gt;=900, "S", IF(C606&gt;=800, "A", IF(C606&gt;=700, "B", IF(C606&gt;=600, "C", IF(C606&gt;=500, "D", "F"))))))</f>
        <v/>
      </c>
    </row>
    <row r="607">
      <c r="B607" t="str">
        <f>IF(C607="", "", IF(C607&gt;=900, "S", IF(C607&gt;=800, "A", IF(C607&gt;=700, "B", IF(C607&gt;=600, "C", IF(C607&gt;=500, "D", "F"))))))</f>
        <v/>
      </c>
    </row>
    <row r="608">
      <c r="B608" t="str">
        <f>IF(C608="", "", IF(C608&gt;=900, "S", IF(C608&gt;=800, "A", IF(C608&gt;=700, "B", IF(C608&gt;=600, "C", IF(C608&gt;=500, "D", "F"))))))</f>
        <v/>
      </c>
    </row>
    <row r="609">
      <c r="B609" t="str">
        <f>IF(C609="", "", IF(C609&gt;=900, "S", IF(C609&gt;=800, "A", IF(C609&gt;=700, "B", IF(C609&gt;=600, "C", IF(C609&gt;=500, "D", "F"))))))</f>
        <v/>
      </c>
    </row>
    <row r="610">
      <c r="B610" t="str">
        <f>IF(C610="", "", IF(C610&gt;=900, "S", IF(C610&gt;=800, "A", IF(C610&gt;=700, "B", IF(C610&gt;=600, "C", IF(C610&gt;=500, "D", "F"))))))</f>
        <v/>
      </c>
    </row>
    <row r="611">
      <c r="B611" t="str">
        <f>IF(C611="", "", IF(C611&gt;=900, "S", IF(C611&gt;=800, "A", IF(C611&gt;=700, "B", IF(C611&gt;=600, "C", IF(C611&gt;=500, "D", "F"))))))</f>
        <v/>
      </c>
    </row>
    <row r="612">
      <c r="B612" t="str">
        <f>IF(C612="", "", IF(C612&gt;=900, "S", IF(C612&gt;=800, "A", IF(C612&gt;=700, "B", IF(C612&gt;=600, "C", IF(C612&gt;=500, "D", "F"))))))</f>
        <v/>
      </c>
    </row>
    <row r="613">
      <c r="B613" t="str">
        <f>IF(C613="", "", IF(C613&gt;=900, "S", IF(C613&gt;=800, "A", IF(C613&gt;=700, "B", IF(C613&gt;=600, "C", IF(C613&gt;=500, "D", "F"))))))</f>
        <v/>
      </c>
    </row>
    <row r="614">
      <c r="B614" t="str">
        <f>IF(C614="", "", IF(C614&gt;=900, "S", IF(C614&gt;=800, "A", IF(C614&gt;=700, "B", IF(C614&gt;=600, "C", IF(C614&gt;=500, "D", "F"))))))</f>
        <v/>
      </c>
    </row>
    <row r="615">
      <c r="B615" t="str">
        <f>IF(C615="", "", IF(C615&gt;=900, "S", IF(C615&gt;=800, "A", IF(C615&gt;=700, "B", IF(C615&gt;=600, "C", IF(C615&gt;=500, "D", "F"))))))</f>
        <v/>
      </c>
    </row>
    <row r="616">
      <c r="B616" t="str">
        <f>IF(C616="", "", IF(C616&gt;=900, "S", IF(C616&gt;=800, "A", IF(C616&gt;=700, "B", IF(C616&gt;=600, "C", IF(C616&gt;=500, "D", "F"))))))</f>
        <v/>
      </c>
    </row>
    <row r="617">
      <c r="B617" t="str">
        <f>IF(C617="", "", IF(C617&gt;=900, "S", IF(C617&gt;=800, "A", IF(C617&gt;=700, "B", IF(C617&gt;=600, "C", IF(C617&gt;=500, "D", "F"))))))</f>
        <v/>
      </c>
    </row>
    <row r="618">
      <c r="B618" t="str">
        <f>IF(C618="", "", IF(C618&gt;=900, "S", IF(C618&gt;=800, "A", IF(C618&gt;=700, "B", IF(C618&gt;=600, "C", IF(C618&gt;=500, "D", "F"))))))</f>
        <v/>
      </c>
    </row>
    <row r="619">
      <c r="B619" t="str">
        <f>IF(C619="", "", IF(C619&gt;=900, "S", IF(C619&gt;=800, "A", IF(C619&gt;=700, "B", IF(C619&gt;=600, "C", IF(C619&gt;=500, "D", "F"))))))</f>
        <v/>
      </c>
    </row>
    <row r="620">
      <c r="B620" t="str">
        <f>IF(C620="", "", IF(C620&gt;=900, "S", IF(C620&gt;=800, "A", IF(C620&gt;=700, "B", IF(C620&gt;=600, "C", IF(C620&gt;=500, "D", "F"))))))</f>
        <v/>
      </c>
    </row>
    <row r="621">
      <c r="B621" t="str">
        <f>IF(C621="", "", IF(C621&gt;=900, "S", IF(C621&gt;=800, "A", IF(C621&gt;=700, "B", IF(C621&gt;=600, "C", IF(C621&gt;=500, "D", "F"))))))</f>
        <v/>
      </c>
    </row>
    <row r="622">
      <c r="B622" t="str">
        <f>IF(C622="", "", IF(C622&gt;=900, "S", IF(C622&gt;=800, "A", IF(C622&gt;=700, "B", IF(C622&gt;=600, "C", IF(C622&gt;=500, "D", "F"))))))</f>
        <v/>
      </c>
    </row>
    <row r="623">
      <c r="B623" t="str">
        <f>IF(C623="", "", IF(C623&gt;=900, "S", IF(C623&gt;=800, "A", IF(C623&gt;=700, "B", IF(C623&gt;=600, "C", IF(C623&gt;=500, "D", "F"))))))</f>
        <v/>
      </c>
    </row>
    <row r="624">
      <c r="B624" t="str">
        <f>IF(C624="", "", IF(C624&gt;=900, "S", IF(C624&gt;=800, "A", IF(C624&gt;=700, "B", IF(C624&gt;=600, "C", IF(C624&gt;=500, "D", "F"))))))</f>
        <v/>
      </c>
    </row>
    <row r="625">
      <c r="B625" t="str">
        <f>IF(C625="", "", IF(C625&gt;=900, "S", IF(C625&gt;=800, "A", IF(C625&gt;=700, "B", IF(C625&gt;=600, "C", IF(C625&gt;=500, "D", "F"))))))</f>
        <v/>
      </c>
    </row>
    <row r="626">
      <c r="B626" t="str">
        <f>IF(C626="", "", IF(C626&gt;=900, "S", IF(C626&gt;=800, "A", IF(C626&gt;=700, "B", IF(C626&gt;=600, "C", IF(C626&gt;=500, "D", "F"))))))</f>
        <v/>
      </c>
    </row>
    <row r="627">
      <c r="B627" t="str">
        <f>IF(C627="", "", IF(C627&gt;=900, "S", IF(C627&gt;=800, "A", IF(C627&gt;=700, "B", IF(C627&gt;=600, "C", IF(C627&gt;=500, "D", "F"))))))</f>
        <v/>
      </c>
    </row>
    <row r="628">
      <c r="B628" t="str">
        <f>IF(C628="", "", IF(C628&gt;=900, "S", IF(C628&gt;=800, "A", IF(C628&gt;=700, "B", IF(C628&gt;=600, "C", IF(C628&gt;=500, "D", "F"))))))</f>
        <v/>
      </c>
    </row>
    <row r="629">
      <c r="B629" t="str">
        <f>IF(C629="", "", IF(C629&gt;=900, "S", IF(C629&gt;=800, "A", IF(C629&gt;=700, "B", IF(C629&gt;=600, "C", IF(C629&gt;=500, "D", "F"))))))</f>
        <v/>
      </c>
    </row>
    <row r="630">
      <c r="B630" t="str">
        <f>IF(C630="", "", IF(C630&gt;=900, "S", IF(C630&gt;=800, "A", IF(C630&gt;=700, "B", IF(C630&gt;=600, "C", IF(C630&gt;=500, "D", "F"))))))</f>
        <v/>
      </c>
    </row>
    <row r="631">
      <c r="B631" t="str">
        <f>IF(C631="", "", IF(C631&gt;=900, "S", IF(C631&gt;=800, "A", IF(C631&gt;=700, "B", IF(C631&gt;=600, "C", IF(C631&gt;=500, "D", "F"))))))</f>
        <v/>
      </c>
    </row>
    <row r="632">
      <c r="B632" t="str">
        <f>IF(C632="", "", IF(C632&gt;=900, "S", IF(C632&gt;=800, "A", IF(C632&gt;=700, "B", IF(C632&gt;=600, "C", IF(C632&gt;=500, "D", "F"))))))</f>
        <v/>
      </c>
    </row>
    <row r="633">
      <c r="B633" t="str">
        <f>IF(C633="", "", IF(C633&gt;=900, "S", IF(C633&gt;=800, "A", IF(C633&gt;=700, "B", IF(C633&gt;=600, "C", IF(C633&gt;=500, "D", "F"))))))</f>
        <v/>
      </c>
    </row>
    <row r="634">
      <c r="B634" t="str">
        <f>IF(C634="", "", IF(C634&gt;=900, "S", IF(C634&gt;=800, "A", IF(C634&gt;=700, "B", IF(C634&gt;=600, "C", IF(C634&gt;=500, "D", "F"))))))</f>
        <v/>
      </c>
    </row>
    <row r="635">
      <c r="B635" t="str">
        <f>IF(C635="", "", IF(C635&gt;=900, "S", IF(C635&gt;=800, "A", IF(C635&gt;=700, "B", IF(C635&gt;=600, "C", IF(C635&gt;=500, "D", "F"))))))</f>
        <v/>
      </c>
    </row>
    <row r="636">
      <c r="B636" t="str">
        <f>IF(C636="", "", IF(C636&gt;=900, "S", IF(C636&gt;=800, "A", IF(C636&gt;=700, "B", IF(C636&gt;=600, "C", IF(C636&gt;=500, "D", "F"))))))</f>
        <v/>
      </c>
    </row>
    <row r="637">
      <c r="B637" t="str">
        <f>IF(C637="", "", IF(C637&gt;=900, "S", IF(C637&gt;=800, "A", IF(C637&gt;=700, "B", IF(C637&gt;=600, "C", IF(C637&gt;=500, "D", "F"))))))</f>
        <v/>
      </c>
    </row>
    <row r="638">
      <c r="B638" t="str">
        <f>IF(C638="", "", IF(C638&gt;=900, "S", IF(C638&gt;=800, "A", IF(C638&gt;=700, "B", IF(C638&gt;=600, "C", IF(C638&gt;=500, "D", "F"))))))</f>
        <v/>
      </c>
    </row>
    <row r="639">
      <c r="B639" t="str">
        <f>IF(C639="", "", IF(C639&gt;=900, "S", IF(C639&gt;=800, "A", IF(C639&gt;=700, "B", IF(C639&gt;=600, "C", IF(C639&gt;=500, "D", "F"))))))</f>
        <v/>
      </c>
    </row>
    <row r="640">
      <c r="B640" t="str">
        <f>IF(C640="", "", IF(C640&gt;=900, "S", IF(C640&gt;=800, "A", IF(C640&gt;=700, "B", IF(C640&gt;=600, "C", IF(C640&gt;=500, "D", "F"))))))</f>
        <v/>
      </c>
    </row>
    <row r="641">
      <c r="B641" t="str">
        <f>IF(C641="", "", IF(C641&gt;=900, "S", IF(C641&gt;=800, "A", IF(C641&gt;=700, "B", IF(C641&gt;=600, "C", IF(C641&gt;=500, "D", "F"))))))</f>
        <v/>
      </c>
    </row>
    <row r="642">
      <c r="B642" t="str">
        <f>IF(C642="", "", IF(C642&gt;=900, "S", IF(C642&gt;=800, "A", IF(C642&gt;=700, "B", IF(C642&gt;=600, "C", IF(C642&gt;=500, "D", "F"))))))</f>
        <v/>
      </c>
    </row>
    <row r="643">
      <c r="B643" t="str">
        <f>IF(C643="", "", IF(C643&gt;=900, "S", IF(C643&gt;=800, "A", IF(C643&gt;=700, "B", IF(C643&gt;=600, "C", IF(C643&gt;=500, "D", "F"))))))</f>
        <v/>
      </c>
    </row>
    <row r="644">
      <c r="B644" t="str">
        <f>IF(C644="", "", IF(C644&gt;=900, "S", IF(C644&gt;=800, "A", IF(C644&gt;=700, "B", IF(C644&gt;=600, "C", IF(C644&gt;=500, "D", "F"))))))</f>
        <v/>
      </c>
    </row>
    <row r="645">
      <c r="B645" t="str">
        <f>IF(C645="", "", IF(C645&gt;=900, "S", IF(C645&gt;=800, "A", IF(C645&gt;=700, "B", IF(C645&gt;=600, "C", IF(C645&gt;=500, "D", "F"))))))</f>
        <v/>
      </c>
    </row>
    <row r="646">
      <c r="B646" t="str">
        <f>IF(C646="", "", IF(C646&gt;=900, "S", IF(C646&gt;=800, "A", IF(C646&gt;=700, "B", IF(C646&gt;=600, "C", IF(C646&gt;=500, "D", "F"))))))</f>
        <v/>
      </c>
    </row>
    <row r="647">
      <c r="B647" t="str">
        <f>IF(C647="", "", IF(C647&gt;=900, "S", IF(C647&gt;=800, "A", IF(C647&gt;=700, "B", IF(C647&gt;=600, "C", IF(C647&gt;=500, "D", "F"))))))</f>
        <v/>
      </c>
    </row>
    <row r="648">
      <c r="B648" t="str">
        <f>IF(C648="", "", IF(C648&gt;=900, "S", IF(C648&gt;=800, "A", IF(C648&gt;=700, "B", IF(C648&gt;=600, "C", IF(C648&gt;=500, "D", "F"))))))</f>
        <v/>
      </c>
    </row>
    <row r="649">
      <c r="B649" t="str">
        <f>IF(C649="", "", IF(C649&gt;=900, "S", IF(C649&gt;=800, "A", IF(C649&gt;=700, "B", IF(C649&gt;=600, "C", IF(C649&gt;=500, "D", "F"))))))</f>
        <v/>
      </c>
    </row>
    <row r="650">
      <c r="B650" t="str">
        <f>IF(C650="", "", IF(C650&gt;=900, "S", IF(C650&gt;=800, "A", IF(C650&gt;=700, "B", IF(C650&gt;=600, "C", IF(C650&gt;=500, "D", "F"))))))</f>
        <v/>
      </c>
    </row>
    <row r="651">
      <c r="B651" t="str">
        <f>IF(C651="", "", IF(C651&gt;=900, "S", IF(C651&gt;=800, "A", IF(C651&gt;=700, "B", IF(C651&gt;=600, "C", IF(C651&gt;=500, "D", "F"))))))</f>
        <v/>
      </c>
    </row>
    <row r="652">
      <c r="B652" t="str">
        <f>IF(C652="", "", IF(C652&gt;=900, "S", IF(C652&gt;=800, "A", IF(C652&gt;=700, "B", IF(C652&gt;=600, "C", IF(C652&gt;=500, "D", "F"))))))</f>
        <v/>
      </c>
    </row>
    <row r="653">
      <c r="B653" t="str">
        <f>IF(C653="", "", IF(C653&gt;=900, "S", IF(C653&gt;=800, "A", IF(C653&gt;=700, "B", IF(C653&gt;=600, "C", IF(C653&gt;=500, "D", "F"))))))</f>
        <v/>
      </c>
    </row>
    <row r="654">
      <c r="B654" t="str">
        <f>IF(C654="", "", IF(C654&gt;=900, "S", IF(C654&gt;=800, "A", IF(C654&gt;=700, "B", IF(C654&gt;=600, "C", IF(C654&gt;=500, "D", "F"))))))</f>
        <v/>
      </c>
    </row>
    <row r="655">
      <c r="B655" t="str">
        <f>IF(C655="", "", IF(C655&gt;=900, "S", IF(C655&gt;=800, "A", IF(C655&gt;=700, "B", IF(C655&gt;=600, "C", IF(C655&gt;=500, "D", "F"))))))</f>
        <v/>
      </c>
    </row>
    <row r="656">
      <c r="B656" t="str">
        <f>IF(C656="", "", IF(C656&gt;=900, "S", IF(C656&gt;=800, "A", IF(C656&gt;=700, "B", IF(C656&gt;=600, "C", IF(C656&gt;=500, "D", "F"))))))</f>
        <v/>
      </c>
    </row>
    <row r="657">
      <c r="B657" t="str">
        <f>IF(C657="", "", IF(C657&gt;=900, "S", IF(C657&gt;=800, "A", IF(C657&gt;=700, "B", IF(C657&gt;=600, "C", IF(C657&gt;=500, "D", "F"))))))</f>
        <v/>
      </c>
    </row>
    <row r="658">
      <c r="B658" t="str">
        <f>IF(C658="", "", IF(C658&gt;=900, "S", IF(C658&gt;=800, "A", IF(C658&gt;=700, "B", IF(C658&gt;=600, "C", IF(C658&gt;=500, "D", "F"))))))</f>
        <v/>
      </c>
    </row>
    <row r="659">
      <c r="B659" t="str">
        <f>IF(C659="", "", IF(C659&gt;=900, "S", IF(C659&gt;=800, "A", IF(C659&gt;=700, "B", IF(C659&gt;=600, "C", IF(C659&gt;=500, "D", "F"))))))</f>
        <v/>
      </c>
    </row>
    <row r="660">
      <c r="B660" t="str">
        <f>IF(C660="", "", IF(C660&gt;=900, "S", IF(C660&gt;=800, "A", IF(C660&gt;=700, "B", IF(C660&gt;=600, "C", IF(C660&gt;=500, "D", "F"))))))</f>
        <v/>
      </c>
    </row>
    <row r="661">
      <c r="B661" t="str">
        <f>IF(C661="", "", IF(C661&gt;=900, "S", IF(C661&gt;=800, "A", IF(C661&gt;=700, "B", IF(C661&gt;=600, "C", IF(C661&gt;=500, "D", "F"))))))</f>
        <v/>
      </c>
    </row>
    <row r="662">
      <c r="B662" t="str">
        <f>IF(C662="", "", IF(C662&gt;=900, "S", IF(C662&gt;=800, "A", IF(C662&gt;=700, "B", IF(C662&gt;=600, "C", IF(C662&gt;=500, "D", "F"))))))</f>
        <v/>
      </c>
    </row>
    <row r="663">
      <c r="B663" t="str">
        <f>IF(C663="", "", IF(C663&gt;=900, "S", IF(C663&gt;=800, "A", IF(C663&gt;=700, "B", IF(C663&gt;=600, "C", IF(C663&gt;=500, "D", "F"))))))</f>
        <v/>
      </c>
    </row>
    <row r="664">
      <c r="B664" t="str">
        <f>IF(C664="", "", IF(C664&gt;=900, "S", IF(C664&gt;=800, "A", IF(C664&gt;=700, "B", IF(C664&gt;=600, "C", IF(C664&gt;=500, "D", "F"))))))</f>
        <v/>
      </c>
    </row>
    <row r="665">
      <c r="B665" t="str">
        <f>IF(C665="", "", IF(C665&gt;=900, "S", IF(C665&gt;=800, "A", IF(C665&gt;=700, "B", IF(C665&gt;=600, "C", IF(C665&gt;=500, "D", "F"))))))</f>
        <v/>
      </c>
    </row>
    <row r="666">
      <c r="B666" t="str">
        <f>IF(C666="", "", IF(C666&gt;=900, "S", IF(C666&gt;=800, "A", IF(C666&gt;=700, "B", IF(C666&gt;=600, "C", IF(C666&gt;=500, "D", "F"))))))</f>
        <v/>
      </c>
    </row>
    <row r="667">
      <c r="B667" t="str">
        <f>IF(C667="", "", IF(C667&gt;=900, "S", IF(C667&gt;=800, "A", IF(C667&gt;=700, "B", IF(C667&gt;=600, "C", IF(C667&gt;=500, "D", "F"))))))</f>
        <v/>
      </c>
    </row>
    <row r="668">
      <c r="B668" t="str">
        <f>IF(C668="", "", IF(C668&gt;=900, "S", IF(C668&gt;=800, "A", IF(C668&gt;=700, "B", IF(C668&gt;=600, "C", IF(C668&gt;=500, "D", "F"))))))</f>
        <v/>
      </c>
    </row>
    <row r="669">
      <c r="B669" t="str">
        <f>IF(C669="", "", IF(C669&gt;=900, "S", IF(C669&gt;=800, "A", IF(C669&gt;=700, "B", IF(C669&gt;=600, "C", IF(C669&gt;=500, "D", "F"))))))</f>
        <v/>
      </c>
    </row>
    <row r="670">
      <c r="B670" t="str">
        <f>IF(C670="", "", IF(C670&gt;=900, "S", IF(C670&gt;=800, "A", IF(C670&gt;=700, "B", IF(C670&gt;=600, "C", IF(C670&gt;=500, "D", "F"))))))</f>
        <v/>
      </c>
    </row>
    <row r="671">
      <c r="B671" t="str">
        <f>IF(C671="", "", IF(C671&gt;=900, "S", IF(C671&gt;=800, "A", IF(C671&gt;=700, "B", IF(C671&gt;=600, "C", IF(C671&gt;=500, "D", "F"))))))</f>
        <v/>
      </c>
    </row>
    <row r="672">
      <c r="B672" t="str">
        <f>IF(C672="", "", IF(C672&gt;=900, "S", IF(C672&gt;=800, "A", IF(C672&gt;=700, "B", IF(C672&gt;=600, "C", IF(C672&gt;=500, "D", "F"))))))</f>
        <v/>
      </c>
    </row>
    <row r="673">
      <c r="B673" t="str">
        <f>IF(C673="", "", IF(C673&gt;=900, "S", IF(C673&gt;=800, "A", IF(C673&gt;=700, "B", IF(C673&gt;=600, "C", IF(C673&gt;=500, "D", "F"))))))</f>
        <v/>
      </c>
    </row>
    <row r="674">
      <c r="B674" t="str">
        <f>IF(C674="", "", IF(C674&gt;=900, "S", IF(C674&gt;=800, "A", IF(C674&gt;=700, "B", IF(C674&gt;=600, "C", IF(C674&gt;=500, "D", "F"))))))</f>
        <v/>
      </c>
    </row>
    <row r="675">
      <c r="B675" t="str">
        <f>IF(C675="", "", IF(C675&gt;=900, "S", IF(C675&gt;=800, "A", IF(C675&gt;=700, "B", IF(C675&gt;=600, "C", IF(C675&gt;=500, "D", "F"))))))</f>
        <v/>
      </c>
    </row>
    <row r="676">
      <c r="B676" t="str">
        <f>IF(C676="", "", IF(C676&gt;=900, "S", IF(C676&gt;=800, "A", IF(C676&gt;=700, "B", IF(C676&gt;=600, "C", IF(C676&gt;=500, "D", "F"))))))</f>
        <v/>
      </c>
    </row>
    <row r="677">
      <c r="B677" t="str">
        <f>IF(C677="", "", IF(C677&gt;=900, "S", IF(C677&gt;=800, "A", IF(C677&gt;=700, "B", IF(C677&gt;=600, "C", IF(C677&gt;=500, "D", "F"))))))</f>
        <v/>
      </c>
    </row>
    <row r="678">
      <c r="B678" t="str">
        <f>IF(C678="", "", IF(C678&gt;=900, "S", IF(C678&gt;=800, "A", IF(C678&gt;=700, "B", IF(C678&gt;=600, "C", IF(C678&gt;=500, "D", "F"))))))</f>
        <v/>
      </c>
    </row>
    <row r="679">
      <c r="B679" t="str">
        <f>IF(C679="", "", IF(C679&gt;=900, "S", IF(C679&gt;=800, "A", IF(C679&gt;=700, "B", IF(C679&gt;=600, "C", IF(C679&gt;=500, "D", "F"))))))</f>
        <v/>
      </c>
    </row>
    <row r="680">
      <c r="B680" t="str">
        <f>IF(C680="", "", IF(C680&gt;=900, "S", IF(C680&gt;=800, "A", IF(C680&gt;=700, "B", IF(C680&gt;=600, "C", IF(C680&gt;=500, "D", "F"))))))</f>
        <v/>
      </c>
    </row>
    <row r="681">
      <c r="B681" t="str">
        <f>IF(C681="", "", IF(C681&gt;=900, "S", IF(C681&gt;=800, "A", IF(C681&gt;=700, "B", IF(C681&gt;=600, "C", IF(C681&gt;=500, "D", "F"))))))</f>
        <v/>
      </c>
    </row>
    <row r="682">
      <c r="B682" t="str">
        <f>IF(C682="", "", IF(C682&gt;=900, "S", IF(C682&gt;=800, "A", IF(C682&gt;=700, "B", IF(C682&gt;=600, "C", IF(C682&gt;=500, "D", "F"))))))</f>
        <v/>
      </c>
    </row>
    <row r="683">
      <c r="B683" t="str">
        <f>IF(C683="", "", IF(C683&gt;=900, "S", IF(C683&gt;=800, "A", IF(C683&gt;=700, "B", IF(C683&gt;=600, "C", IF(C683&gt;=500, "D", "F"))))))</f>
        <v/>
      </c>
    </row>
    <row r="684">
      <c r="B684" t="str">
        <f>IF(C684="", "", IF(C684&gt;=900, "S", IF(C684&gt;=800, "A", IF(C684&gt;=700, "B", IF(C684&gt;=600, "C", IF(C684&gt;=500, "D", "F"))))))</f>
        <v/>
      </c>
    </row>
    <row r="685">
      <c r="B685" t="str">
        <f>IF(C685="", "", IF(C685&gt;=900, "S", IF(C685&gt;=800, "A", IF(C685&gt;=700, "B", IF(C685&gt;=600, "C", IF(C685&gt;=500, "D", "F"))))))</f>
        <v/>
      </c>
    </row>
    <row r="686">
      <c r="B686" t="str">
        <f>IF(C686="", "", IF(C686&gt;=900, "S", IF(C686&gt;=800, "A", IF(C686&gt;=700, "B", IF(C686&gt;=600, "C", IF(C686&gt;=500, "D", "F"))))))</f>
        <v/>
      </c>
    </row>
    <row r="687">
      <c r="B687" t="str">
        <f>IF(C687="", "", IF(C687&gt;=900, "S", IF(C687&gt;=800, "A", IF(C687&gt;=700, "B", IF(C687&gt;=600, "C", IF(C687&gt;=500, "D", "F"))))))</f>
        <v/>
      </c>
    </row>
    <row r="688">
      <c r="B688" t="str">
        <f>IF(C688="", "", IF(C688&gt;=900, "S", IF(C688&gt;=800, "A", IF(C688&gt;=700, "B", IF(C688&gt;=600, "C", IF(C688&gt;=500, "D", "F"))))))</f>
        <v/>
      </c>
    </row>
    <row r="689">
      <c r="B689" t="str">
        <f>IF(C689="", "", IF(C689&gt;=900, "S", IF(C689&gt;=800, "A", IF(C689&gt;=700, "B", IF(C689&gt;=600, "C", IF(C689&gt;=500, "D", "F"))))))</f>
        <v/>
      </c>
    </row>
    <row r="690">
      <c r="B690" t="str">
        <f>IF(C690="", "", IF(C690&gt;=900, "S", IF(C690&gt;=800, "A", IF(C690&gt;=700, "B", IF(C690&gt;=600, "C", IF(C690&gt;=500, "D", "F"))))))</f>
        <v/>
      </c>
    </row>
    <row r="691">
      <c r="B691" t="str">
        <f>IF(C691="", "", IF(C691&gt;=900, "S", IF(C691&gt;=800, "A", IF(C691&gt;=700, "B", IF(C691&gt;=600, "C", IF(C691&gt;=500, "D", "F"))))))</f>
        <v/>
      </c>
    </row>
    <row r="692">
      <c r="B692" t="str">
        <f>IF(C692="", "", IF(C692&gt;=900, "S", IF(C692&gt;=800, "A", IF(C692&gt;=700, "B", IF(C692&gt;=600, "C", IF(C692&gt;=500, "D", "F"))))))</f>
        <v/>
      </c>
    </row>
    <row r="693">
      <c r="B693" t="str">
        <f>IF(C693="", "", IF(C693&gt;=900, "S", IF(C693&gt;=800, "A", IF(C693&gt;=700, "B", IF(C693&gt;=600, "C", IF(C693&gt;=500, "D", "F"))))))</f>
        <v/>
      </c>
    </row>
    <row r="694">
      <c r="B694" t="str">
        <f>IF(C694="", "", IF(C694&gt;=900, "S", IF(C694&gt;=800, "A", IF(C694&gt;=700, "B", IF(C694&gt;=600, "C", IF(C694&gt;=500, "D", "F"))))))</f>
        <v/>
      </c>
    </row>
    <row r="695">
      <c r="B695" t="str">
        <f>IF(C695="", "", IF(C695&gt;=900, "S", IF(C695&gt;=800, "A", IF(C695&gt;=700, "B", IF(C695&gt;=600, "C", IF(C695&gt;=500, "D", "F"))))))</f>
        <v/>
      </c>
    </row>
    <row r="696">
      <c r="B696" t="str">
        <f>IF(C696="", "", IF(C696&gt;=900, "S", IF(C696&gt;=800, "A", IF(C696&gt;=700, "B", IF(C696&gt;=600, "C", IF(C696&gt;=500, "D", "F"))))))</f>
        <v/>
      </c>
    </row>
    <row r="697">
      <c r="B697" t="str">
        <f>IF(C697="", "", IF(C697&gt;=900, "S", IF(C697&gt;=800, "A", IF(C697&gt;=700, "B", IF(C697&gt;=600, "C", IF(C697&gt;=500, "D", "F"))))))</f>
        <v/>
      </c>
    </row>
    <row r="698">
      <c r="B698" t="str">
        <f>IF(C698="", "", IF(C698&gt;=900, "S", IF(C698&gt;=800, "A", IF(C698&gt;=700, "B", IF(C698&gt;=600, "C", IF(C698&gt;=500, "D", "F"))))))</f>
        <v/>
      </c>
    </row>
    <row r="699">
      <c r="B699" t="str">
        <f>IF(C699="", "", IF(C699&gt;=900, "S", IF(C699&gt;=800, "A", IF(C699&gt;=700, "B", IF(C699&gt;=600, "C", IF(C699&gt;=500, "D", "F"))))))</f>
        <v/>
      </c>
    </row>
    <row r="700">
      <c r="B700" t="str">
        <f>IF(C700="", "", IF(C700&gt;=900, "S", IF(C700&gt;=800, "A", IF(C700&gt;=700, "B", IF(C700&gt;=600, "C", IF(C700&gt;=500, "D", "F"))))))</f>
        <v/>
      </c>
    </row>
    <row r="701">
      <c r="B701" t="str">
        <f>IF(C701="", "", IF(C701&gt;=900, "S", IF(C701&gt;=800, "A", IF(C701&gt;=700, "B", IF(C701&gt;=600, "C", IF(C701&gt;=500, "D", "F"))))))</f>
        <v/>
      </c>
    </row>
    <row r="702">
      <c r="B702" t="str">
        <f>IF(C702="", "", IF(C702&gt;=900, "S", IF(C702&gt;=800, "A", IF(C702&gt;=700, "B", IF(C702&gt;=600, "C", IF(C702&gt;=500, "D", "F"))))))</f>
        <v/>
      </c>
    </row>
    <row r="703">
      <c r="B703" t="str">
        <f>IF(C703="", "", IF(C703&gt;=900, "S", IF(C703&gt;=800, "A", IF(C703&gt;=700, "B", IF(C703&gt;=600, "C", IF(C703&gt;=500, "D", "F"))))))</f>
        <v/>
      </c>
    </row>
    <row r="704">
      <c r="B704" t="str">
        <f>IF(C704="", "", IF(C704&gt;=900, "S", IF(C704&gt;=800, "A", IF(C704&gt;=700, "B", IF(C704&gt;=600, "C", IF(C704&gt;=500, "D", "F"))))))</f>
        <v/>
      </c>
    </row>
    <row r="705">
      <c r="B705" t="str">
        <f>IF(C705="", "", IF(C705&gt;=900, "S", IF(C705&gt;=800, "A", IF(C705&gt;=700, "B", IF(C705&gt;=600, "C", IF(C705&gt;=500, "D", "F"))))))</f>
        <v/>
      </c>
    </row>
    <row r="706">
      <c r="B706" t="str">
        <f>IF(C706="", "", IF(C706&gt;=900, "S", IF(C706&gt;=800, "A", IF(C706&gt;=700, "B", IF(C706&gt;=600, "C", IF(C706&gt;=500, "D", "F"))))))</f>
        <v/>
      </c>
    </row>
    <row r="707">
      <c r="B707" t="str">
        <f>IF(C707="", "", IF(C707&gt;=900, "S", IF(C707&gt;=800, "A", IF(C707&gt;=700, "B", IF(C707&gt;=600, "C", IF(C707&gt;=500, "D", "F"))))))</f>
        <v/>
      </c>
    </row>
    <row r="708">
      <c r="B708" t="str">
        <f>IF(C708="", "", IF(C708&gt;=900, "S", IF(C708&gt;=800, "A", IF(C708&gt;=700, "B", IF(C708&gt;=600, "C", IF(C708&gt;=500, "D", "F"))))))</f>
        <v/>
      </c>
    </row>
    <row r="709">
      <c r="B709" t="str">
        <f>IF(C709="", "", IF(C709&gt;=900, "S", IF(C709&gt;=800, "A", IF(C709&gt;=700, "B", IF(C709&gt;=600, "C", IF(C709&gt;=500, "D", "F"))))))</f>
        <v/>
      </c>
    </row>
    <row r="710">
      <c r="B710" t="str">
        <f>IF(C710="", "", IF(C710&gt;=900, "S", IF(C710&gt;=800, "A", IF(C710&gt;=700, "B", IF(C710&gt;=600, "C", IF(C710&gt;=500, "D", "F"))))))</f>
        <v/>
      </c>
    </row>
    <row r="711">
      <c r="B711" t="str">
        <f>IF(C711="", "", IF(C711&gt;=900, "S", IF(C711&gt;=800, "A", IF(C711&gt;=700, "B", IF(C711&gt;=600, "C", IF(C711&gt;=500, "D", "F"))))))</f>
        <v/>
      </c>
    </row>
    <row r="712">
      <c r="B712" t="str">
        <f>IF(C712="", "", IF(C712&gt;=900, "S", IF(C712&gt;=800, "A", IF(C712&gt;=700, "B", IF(C712&gt;=600, "C", IF(C712&gt;=500, "D", "F"))))))</f>
        <v/>
      </c>
    </row>
    <row r="713">
      <c r="B713" t="str">
        <f>IF(C713="", "", IF(C713&gt;=900, "S", IF(C713&gt;=800, "A", IF(C713&gt;=700, "B", IF(C713&gt;=600, "C", IF(C713&gt;=500, "D", "F"))))))</f>
        <v/>
      </c>
    </row>
    <row r="714">
      <c r="B714" t="str">
        <f>IF(C714="", "", IF(C714&gt;=900, "S", IF(C714&gt;=800, "A", IF(C714&gt;=700, "B", IF(C714&gt;=600, "C", IF(C714&gt;=500, "D", "F"))))))</f>
        <v/>
      </c>
    </row>
    <row r="715">
      <c r="B715" t="str">
        <f>IF(C715="", "", IF(C715&gt;=900, "S", IF(C715&gt;=800, "A", IF(C715&gt;=700, "B", IF(C715&gt;=600, "C", IF(C715&gt;=500, "D", "F"))))))</f>
        <v/>
      </c>
    </row>
    <row r="716">
      <c r="B716" t="str">
        <f>IF(C716="", "", IF(C716&gt;=900, "S", IF(C716&gt;=800, "A", IF(C716&gt;=700, "B", IF(C716&gt;=600, "C", IF(C716&gt;=500, "D", "F"))))))</f>
        <v/>
      </c>
    </row>
    <row r="717">
      <c r="B717" t="str">
        <f>IF(C717="", "", IF(C717&gt;=900, "S", IF(C717&gt;=800, "A", IF(C717&gt;=700, "B", IF(C717&gt;=600, "C", IF(C717&gt;=500, "D", "F"))))))</f>
        <v/>
      </c>
    </row>
    <row r="718">
      <c r="B718" t="str">
        <f>IF(C718="", "", IF(C718&gt;=900, "S", IF(C718&gt;=800, "A", IF(C718&gt;=700, "B", IF(C718&gt;=600, "C", IF(C718&gt;=500, "D", "F"))))))</f>
        <v/>
      </c>
    </row>
    <row r="719">
      <c r="B719" t="str">
        <f>IF(C719="", "", IF(C719&gt;=900, "S", IF(C719&gt;=800, "A", IF(C719&gt;=700, "B", IF(C719&gt;=600, "C", IF(C719&gt;=500, "D", "F"))))))</f>
        <v/>
      </c>
    </row>
    <row r="720">
      <c r="B720" t="str">
        <f>IF(C720="", "", IF(C720&gt;=900, "S", IF(C720&gt;=800, "A", IF(C720&gt;=700, "B", IF(C720&gt;=600, "C", IF(C720&gt;=500, "D", "F"))))))</f>
        <v/>
      </c>
    </row>
    <row r="721">
      <c r="B721" t="str">
        <f>IF(C721="", "", IF(C721&gt;=900, "S", IF(C721&gt;=800, "A", IF(C721&gt;=700, "B", IF(C721&gt;=600, "C", IF(C721&gt;=500, "D", "F"))))))</f>
        <v/>
      </c>
    </row>
    <row r="722">
      <c r="B722" t="str">
        <f>IF(C722="", "", IF(C722&gt;=900, "S", IF(C722&gt;=800, "A", IF(C722&gt;=700, "B", IF(C722&gt;=600, "C", IF(C722&gt;=500, "D", "F"))))))</f>
        <v/>
      </c>
    </row>
    <row r="723">
      <c r="B723" t="str">
        <f>IF(C723="", "", IF(C723&gt;=900, "S", IF(C723&gt;=800, "A", IF(C723&gt;=700, "B", IF(C723&gt;=600, "C", IF(C723&gt;=500, "D", "F"))))))</f>
        <v/>
      </c>
    </row>
    <row r="724">
      <c r="B724" t="str">
        <f>IF(C724="", "", IF(C724&gt;=900, "S", IF(C724&gt;=800, "A", IF(C724&gt;=700, "B", IF(C724&gt;=600, "C", IF(C724&gt;=500, "D", "F"))))))</f>
        <v/>
      </c>
    </row>
    <row r="725">
      <c r="B725" t="str">
        <f>IF(C725="", "", IF(C725&gt;=900, "S", IF(C725&gt;=800, "A", IF(C725&gt;=700, "B", IF(C725&gt;=600, "C", IF(C725&gt;=500, "D", "F"))))))</f>
        <v/>
      </c>
    </row>
    <row r="726">
      <c r="B726" t="str">
        <f>IF(C726="", "", IF(C726&gt;=900, "S", IF(C726&gt;=800, "A", IF(C726&gt;=700, "B", IF(C726&gt;=600, "C", IF(C726&gt;=500, "D", "F"))))))</f>
        <v/>
      </c>
    </row>
    <row r="727">
      <c r="B727" t="str">
        <f>IF(C727="", "", IF(C727&gt;=900, "S", IF(C727&gt;=800, "A", IF(C727&gt;=700, "B", IF(C727&gt;=600, "C", IF(C727&gt;=500, "D", "F"))))))</f>
        <v/>
      </c>
    </row>
    <row r="728">
      <c r="B728" t="str">
        <f>IF(C728="", "", IF(C728&gt;=900, "S", IF(C728&gt;=800, "A", IF(C728&gt;=700, "B", IF(C728&gt;=600, "C", IF(C728&gt;=500, "D", "F"))))))</f>
        <v/>
      </c>
    </row>
    <row r="729">
      <c r="B729" t="str">
        <f>IF(C729="", "", IF(C729&gt;=900, "S", IF(C729&gt;=800, "A", IF(C729&gt;=700, "B", IF(C729&gt;=600, "C", IF(C729&gt;=500, "D", "F"))))))</f>
        <v/>
      </c>
    </row>
    <row r="730">
      <c r="B730" t="str">
        <f>IF(C730="", "", IF(C730&gt;=900, "S", IF(C730&gt;=800, "A", IF(C730&gt;=700, "B", IF(C730&gt;=600, "C", IF(C730&gt;=500, "D", "F"))))))</f>
        <v/>
      </c>
    </row>
    <row r="731">
      <c r="B731" t="str">
        <f>IF(C731="", "", IF(C731&gt;=900, "S", IF(C731&gt;=800, "A", IF(C731&gt;=700, "B", IF(C731&gt;=600, "C", IF(C731&gt;=500, "D", "F"))))))</f>
        <v/>
      </c>
    </row>
    <row r="732">
      <c r="B732" t="str">
        <f>IF(C732="", "", IF(C732&gt;=900, "S", IF(C732&gt;=800, "A", IF(C732&gt;=700, "B", IF(C732&gt;=600, "C", IF(C732&gt;=500, "D", "F"))))))</f>
        <v/>
      </c>
    </row>
    <row r="733">
      <c r="B733" t="str">
        <f>IF(C733="", "", IF(C733&gt;=900, "S", IF(C733&gt;=800, "A", IF(C733&gt;=700, "B", IF(C733&gt;=600, "C", IF(C733&gt;=500, "D", "F"))))))</f>
        <v/>
      </c>
    </row>
    <row r="734">
      <c r="B734" t="str">
        <f>IF(C734="", "", IF(C734&gt;=900, "S", IF(C734&gt;=800, "A", IF(C734&gt;=700, "B", IF(C734&gt;=600, "C", IF(C734&gt;=500, "D", "F"))))))</f>
        <v/>
      </c>
    </row>
    <row r="735">
      <c r="B735" t="str">
        <f>IF(C735="", "", IF(C735&gt;=900, "S", IF(C735&gt;=800, "A", IF(C735&gt;=700, "B", IF(C735&gt;=600, "C", IF(C735&gt;=500, "D", "F"))))))</f>
        <v/>
      </c>
    </row>
    <row r="736">
      <c r="B736" t="str">
        <f>IF(C736="", "", IF(C736&gt;=900, "S", IF(C736&gt;=800, "A", IF(C736&gt;=700, "B", IF(C736&gt;=600, "C", IF(C736&gt;=500, "D", "F"))))))</f>
        <v/>
      </c>
    </row>
    <row r="737">
      <c r="B737" t="str">
        <f>IF(C737="", "", IF(C737&gt;=900, "S", IF(C737&gt;=800, "A", IF(C737&gt;=700, "B", IF(C737&gt;=600, "C", IF(C737&gt;=500, "D", "F"))))))</f>
        <v/>
      </c>
    </row>
    <row r="738">
      <c r="B738" t="str">
        <f>IF(C738="", "", IF(C738&gt;=900, "S", IF(C738&gt;=800, "A", IF(C738&gt;=700, "B", IF(C738&gt;=600, "C", IF(C738&gt;=500, "D", "F"))))))</f>
        <v/>
      </c>
    </row>
    <row r="739">
      <c r="B739" t="str">
        <f>IF(C739="", "", IF(C739&gt;=900, "S", IF(C739&gt;=800, "A", IF(C739&gt;=700, "B", IF(C739&gt;=600, "C", IF(C739&gt;=500, "D", "F"))))))</f>
        <v/>
      </c>
    </row>
    <row r="740">
      <c r="B740" t="str">
        <f>IF(C740="", "", IF(C740&gt;=900, "S", IF(C740&gt;=800, "A", IF(C740&gt;=700, "B", IF(C740&gt;=600, "C", IF(C740&gt;=500, "D", "F"))))))</f>
        <v/>
      </c>
    </row>
    <row r="741">
      <c r="B741" t="str">
        <f>IF(C741="", "", IF(C741&gt;=900, "S", IF(C741&gt;=800, "A", IF(C741&gt;=700, "B", IF(C741&gt;=600, "C", IF(C741&gt;=500, "D", "F"))))))</f>
        <v/>
      </c>
    </row>
    <row r="742">
      <c r="B742" t="str">
        <f>IF(C742="", "", IF(C742&gt;=900, "S", IF(C742&gt;=800, "A", IF(C742&gt;=700, "B", IF(C742&gt;=600, "C", IF(C742&gt;=500, "D", "F"))))))</f>
        <v/>
      </c>
    </row>
    <row r="743">
      <c r="B743" t="str">
        <f>IF(C743="", "", IF(C743&gt;=900, "S", IF(C743&gt;=800, "A", IF(C743&gt;=700, "B", IF(C743&gt;=600, "C", IF(C743&gt;=500, "D", "F"))))))</f>
        <v/>
      </c>
    </row>
    <row r="744">
      <c r="B744" t="str">
        <f>IF(C744="", "", IF(C744&gt;=900, "S", IF(C744&gt;=800, "A", IF(C744&gt;=700, "B", IF(C744&gt;=600, "C", IF(C744&gt;=500, "D", "F"))))))</f>
        <v/>
      </c>
    </row>
    <row r="745">
      <c r="B745" t="str">
        <f>IF(C745="", "", IF(C745&gt;=900, "S", IF(C745&gt;=800, "A", IF(C745&gt;=700, "B", IF(C745&gt;=600, "C", IF(C745&gt;=500, "D", "F"))))))</f>
        <v/>
      </c>
    </row>
    <row r="746">
      <c r="B746" t="str">
        <f>IF(C746="", "", IF(C746&gt;=900, "S", IF(C746&gt;=800, "A", IF(C746&gt;=700, "B", IF(C746&gt;=600, "C", IF(C746&gt;=500, "D", "F"))))))</f>
        <v/>
      </c>
    </row>
    <row r="747">
      <c r="B747" t="str">
        <f>IF(C747="", "", IF(C747&gt;=900, "S", IF(C747&gt;=800, "A", IF(C747&gt;=700, "B", IF(C747&gt;=600, "C", IF(C747&gt;=500, "D", "F"))))))</f>
        <v/>
      </c>
    </row>
    <row r="748">
      <c r="B748" t="str">
        <f>IF(C748="", "", IF(C748&gt;=900, "S", IF(C748&gt;=800, "A", IF(C748&gt;=700, "B", IF(C748&gt;=600, "C", IF(C748&gt;=500, "D", "F"))))))</f>
        <v/>
      </c>
    </row>
    <row r="749">
      <c r="B749" t="str">
        <f>IF(C749="", "", IF(C749&gt;=900, "S", IF(C749&gt;=800, "A", IF(C749&gt;=700, "B", IF(C749&gt;=600, "C", IF(C749&gt;=500, "D", "F"))))))</f>
        <v/>
      </c>
    </row>
    <row r="750">
      <c r="B750" t="str">
        <f>IF(C750="", "", IF(C750&gt;=900, "S", IF(C750&gt;=800, "A", IF(C750&gt;=700, "B", IF(C750&gt;=600, "C", IF(C750&gt;=500, "D", "F"))))))</f>
        <v/>
      </c>
    </row>
    <row r="751">
      <c r="B751" t="str">
        <f>IF(C751="", "", IF(C751&gt;=900, "S", IF(C751&gt;=800, "A", IF(C751&gt;=700, "B", IF(C751&gt;=600, "C", IF(C751&gt;=500, "D", "F"))))))</f>
        <v/>
      </c>
    </row>
    <row r="752">
      <c r="B752" t="str">
        <f>IF(C752="", "", IF(C752&gt;=900, "S", IF(C752&gt;=800, "A", IF(C752&gt;=700, "B", IF(C752&gt;=600, "C", IF(C752&gt;=500, "D", "F"))))))</f>
        <v/>
      </c>
    </row>
    <row r="753">
      <c r="B753" t="str">
        <f>IF(C753="", "", IF(C753&gt;=900, "S", IF(C753&gt;=800, "A", IF(C753&gt;=700, "B", IF(C753&gt;=600, "C", IF(C753&gt;=500, "D", "F"))))))</f>
        <v/>
      </c>
    </row>
    <row r="754">
      <c r="B754" t="str">
        <f>IF(C754="", "", IF(C754&gt;=900, "S", IF(C754&gt;=800, "A", IF(C754&gt;=700, "B", IF(C754&gt;=600, "C", IF(C754&gt;=500, "D", "F"))))))</f>
        <v/>
      </c>
    </row>
    <row r="755">
      <c r="B755" t="str">
        <f>IF(C755="", "", IF(C755&gt;=900, "S", IF(C755&gt;=800, "A", IF(C755&gt;=700, "B", IF(C755&gt;=600, "C", IF(C755&gt;=500, "D", "F"))))))</f>
        <v/>
      </c>
    </row>
    <row r="756">
      <c r="B756" t="str">
        <f>IF(C756="", "", IF(C756&gt;=900, "S", IF(C756&gt;=800, "A", IF(C756&gt;=700, "B", IF(C756&gt;=600, "C", IF(C756&gt;=500, "D", "F"))))))</f>
        <v/>
      </c>
    </row>
    <row r="757">
      <c r="B757" t="str">
        <f>IF(C757="", "", IF(C757&gt;=900, "S", IF(C757&gt;=800, "A", IF(C757&gt;=700, "B", IF(C757&gt;=600, "C", IF(C757&gt;=500, "D", "F"))))))</f>
        <v/>
      </c>
    </row>
    <row r="758">
      <c r="B758" t="str">
        <f>IF(C758="", "", IF(C758&gt;=900, "S", IF(C758&gt;=800, "A", IF(C758&gt;=700, "B", IF(C758&gt;=600, "C", IF(C758&gt;=500, "D", "F"))))))</f>
        <v/>
      </c>
    </row>
    <row r="759">
      <c r="B759" t="str">
        <f>IF(C759="", "", IF(C759&gt;=900, "S", IF(C759&gt;=800, "A", IF(C759&gt;=700, "B", IF(C759&gt;=600, "C", IF(C759&gt;=500, "D", "F"))))))</f>
        <v/>
      </c>
    </row>
    <row r="760">
      <c r="B760" t="str">
        <f>IF(C760="", "", IF(C760&gt;=900, "S", IF(C760&gt;=800, "A", IF(C760&gt;=700, "B", IF(C760&gt;=600, "C", IF(C760&gt;=500, "D", "F"))))))</f>
        <v/>
      </c>
    </row>
    <row r="761">
      <c r="B761" t="str">
        <f>IF(C761="", "", IF(C761&gt;=900, "S", IF(C761&gt;=800, "A", IF(C761&gt;=700, "B", IF(C761&gt;=600, "C", IF(C761&gt;=500, "D", "F"))))))</f>
        <v/>
      </c>
    </row>
    <row r="762">
      <c r="B762" t="str">
        <f>IF(C762="", "", IF(C762&gt;=900, "S", IF(C762&gt;=800, "A", IF(C762&gt;=700, "B", IF(C762&gt;=600, "C", IF(C762&gt;=500, "D", "F"))))))</f>
        <v/>
      </c>
    </row>
    <row r="763">
      <c r="B763" t="str">
        <f>IF(C763="", "", IF(C763&gt;=900, "S", IF(C763&gt;=800, "A", IF(C763&gt;=700, "B", IF(C763&gt;=600, "C", IF(C763&gt;=500, "D", "F"))))))</f>
        <v/>
      </c>
    </row>
    <row r="764">
      <c r="B764" t="str">
        <f>IF(C764="", "", IF(C764&gt;=900, "S", IF(C764&gt;=800, "A", IF(C764&gt;=700, "B", IF(C764&gt;=600, "C", IF(C764&gt;=500, "D", "F"))))))</f>
        <v/>
      </c>
    </row>
    <row r="765">
      <c r="B765" t="str">
        <f>IF(C765="", "", IF(C765&gt;=900, "S", IF(C765&gt;=800, "A", IF(C765&gt;=700, "B", IF(C765&gt;=600, "C", IF(C765&gt;=500, "D", "F"))))))</f>
        <v/>
      </c>
    </row>
    <row r="766">
      <c r="B766" t="str">
        <f>IF(C766="", "", IF(C766&gt;=900, "S", IF(C766&gt;=800, "A", IF(C766&gt;=700, "B", IF(C766&gt;=600, "C", IF(C766&gt;=500, "D", "F"))))))</f>
        <v/>
      </c>
    </row>
    <row r="767">
      <c r="B767" t="str">
        <f>IF(C767="", "", IF(C767&gt;=900, "S", IF(C767&gt;=800, "A", IF(C767&gt;=700, "B", IF(C767&gt;=600, "C", IF(C767&gt;=500, "D", "F"))))))</f>
        <v/>
      </c>
    </row>
    <row r="768">
      <c r="B768" t="str">
        <f>IF(C768="", "", IF(C768&gt;=900, "S", IF(C768&gt;=800, "A", IF(C768&gt;=700, "B", IF(C768&gt;=600, "C", IF(C768&gt;=500, "D", "F"))))))</f>
        <v/>
      </c>
    </row>
    <row r="769">
      <c r="B769" t="str">
        <f>IF(C769="", "", IF(C769&gt;=900, "S", IF(C769&gt;=800, "A", IF(C769&gt;=700, "B", IF(C769&gt;=600, "C", IF(C769&gt;=500, "D", "F"))))))</f>
        <v/>
      </c>
    </row>
    <row r="770">
      <c r="B770" t="str">
        <f>IF(C770="", "", IF(C770&gt;=900, "S", IF(C770&gt;=800, "A", IF(C770&gt;=700, "B", IF(C770&gt;=600, "C", IF(C770&gt;=500, "D", "F"))))))</f>
        <v/>
      </c>
    </row>
    <row r="771">
      <c r="B771" t="str">
        <f>IF(C771="", "", IF(C771&gt;=900, "S", IF(C771&gt;=800, "A", IF(C771&gt;=700, "B", IF(C771&gt;=600, "C", IF(C771&gt;=500, "D", "F"))))))</f>
        <v/>
      </c>
    </row>
    <row r="772">
      <c r="B772" t="str">
        <f>IF(C772="", "", IF(C772&gt;=900, "S", IF(C772&gt;=800, "A", IF(C772&gt;=700, "B", IF(C772&gt;=600, "C", IF(C772&gt;=500, "D", "F"))))))</f>
        <v/>
      </c>
    </row>
    <row r="773">
      <c r="B773" t="str">
        <f>IF(C773="", "", IF(C773&gt;=900, "S", IF(C773&gt;=800, "A", IF(C773&gt;=700, "B", IF(C773&gt;=600, "C", IF(C773&gt;=500, "D", "F"))))))</f>
        <v/>
      </c>
    </row>
    <row r="774">
      <c r="B774" t="str">
        <f>IF(C774="", "", IF(C774&gt;=900, "S", IF(C774&gt;=800, "A", IF(C774&gt;=700, "B", IF(C774&gt;=600, "C", IF(C774&gt;=500, "D", "F"))))))</f>
        <v/>
      </c>
    </row>
    <row r="775">
      <c r="B775" t="str">
        <f>IF(C775="", "", IF(C775&gt;=900, "S", IF(C775&gt;=800, "A", IF(C775&gt;=700, "B", IF(C775&gt;=600, "C", IF(C775&gt;=500, "D", "F"))))))</f>
        <v/>
      </c>
    </row>
    <row r="776">
      <c r="B776" t="str">
        <f>IF(C776="", "", IF(C776&gt;=900, "S", IF(C776&gt;=800, "A", IF(C776&gt;=700, "B", IF(C776&gt;=600, "C", IF(C776&gt;=500, "D", "F"))))))</f>
        <v/>
      </c>
    </row>
    <row r="777">
      <c r="B777" t="str">
        <f>IF(C777="", "", IF(C777&gt;=900, "S", IF(C777&gt;=800, "A", IF(C777&gt;=700, "B", IF(C777&gt;=600, "C", IF(C777&gt;=500, "D", "F"))))))</f>
        <v/>
      </c>
    </row>
    <row r="778">
      <c r="B778" t="str">
        <f>IF(C778="", "", IF(C778&gt;=900, "S", IF(C778&gt;=800, "A", IF(C778&gt;=700, "B", IF(C778&gt;=600, "C", IF(C778&gt;=500, "D", "F"))))))</f>
        <v/>
      </c>
    </row>
    <row r="779">
      <c r="B779" t="str">
        <f>IF(C779="", "", IF(C779&gt;=900, "S", IF(C779&gt;=800, "A", IF(C779&gt;=700, "B", IF(C779&gt;=600, "C", IF(C779&gt;=500, "D", "F"))))))</f>
        <v/>
      </c>
    </row>
    <row r="780">
      <c r="B780" t="str">
        <f>IF(C780="", "", IF(C780&gt;=900, "S", IF(C780&gt;=800, "A", IF(C780&gt;=700, "B", IF(C780&gt;=600, "C", IF(C780&gt;=500, "D", "F"))))))</f>
        <v/>
      </c>
    </row>
    <row r="781">
      <c r="B781" t="str">
        <f>IF(C781="", "", IF(C781&gt;=900, "S", IF(C781&gt;=800, "A", IF(C781&gt;=700, "B", IF(C781&gt;=600, "C", IF(C781&gt;=500, "D", "F"))))))</f>
        <v/>
      </c>
    </row>
    <row r="782">
      <c r="B782" t="str">
        <f>IF(C782="", "", IF(C782&gt;=900, "S", IF(C782&gt;=800, "A", IF(C782&gt;=700, "B", IF(C782&gt;=600, "C", IF(C782&gt;=500, "D", "F"))))))</f>
        <v/>
      </c>
    </row>
    <row r="783">
      <c r="B783" t="str">
        <f>IF(C783="", "", IF(C783&gt;=900, "S", IF(C783&gt;=800, "A", IF(C783&gt;=700, "B", IF(C783&gt;=600, "C", IF(C783&gt;=500, "D", "F"))))))</f>
        <v/>
      </c>
    </row>
    <row r="784">
      <c r="B784" t="str">
        <f>IF(C784="", "", IF(C784&gt;=900, "S", IF(C784&gt;=800, "A", IF(C784&gt;=700, "B", IF(C784&gt;=600, "C", IF(C784&gt;=500, "D", "F"))))))</f>
        <v/>
      </c>
    </row>
    <row r="785">
      <c r="B785" t="str">
        <f>IF(C785="", "", IF(C785&gt;=900, "S", IF(C785&gt;=800, "A", IF(C785&gt;=700, "B", IF(C785&gt;=600, "C", IF(C785&gt;=500, "D", "F"))))))</f>
        <v/>
      </c>
    </row>
    <row r="786">
      <c r="B786" t="str">
        <f>IF(C786="", "", IF(C786&gt;=900, "S", IF(C786&gt;=800, "A", IF(C786&gt;=700, "B", IF(C786&gt;=600, "C", IF(C786&gt;=500, "D", "F"))))))</f>
        <v/>
      </c>
    </row>
    <row r="787">
      <c r="B787" t="str">
        <f>IF(C787="", "", IF(C787&gt;=900, "S", IF(C787&gt;=800, "A", IF(C787&gt;=700, "B", IF(C787&gt;=600, "C", IF(C787&gt;=500, "D", "F"))))))</f>
        <v/>
      </c>
    </row>
    <row r="788">
      <c r="B788" t="str">
        <f>IF(C788="", "", IF(C788&gt;=900, "S", IF(C788&gt;=800, "A", IF(C788&gt;=700, "B", IF(C788&gt;=600, "C", IF(C788&gt;=500, "D", "F"))))))</f>
        <v/>
      </c>
    </row>
    <row r="789">
      <c r="B789" t="str">
        <f>IF(C789="", "", IF(C789&gt;=900, "S", IF(C789&gt;=800, "A", IF(C789&gt;=700, "B", IF(C789&gt;=600, "C", IF(C789&gt;=500, "D", "F"))))))</f>
        <v/>
      </c>
    </row>
    <row r="790">
      <c r="B790" t="str">
        <f>IF(C790="", "", IF(C790&gt;=900, "S", IF(C790&gt;=800, "A", IF(C790&gt;=700, "B", IF(C790&gt;=600, "C", IF(C790&gt;=500, "D", "F"))))))</f>
        <v/>
      </c>
    </row>
    <row r="791">
      <c r="B791" t="str">
        <f>IF(C791="", "", IF(C791&gt;=900, "S", IF(C791&gt;=800, "A", IF(C791&gt;=700, "B", IF(C791&gt;=600, "C", IF(C791&gt;=500, "D", "F"))))))</f>
        <v/>
      </c>
    </row>
    <row r="792">
      <c r="B792" t="str">
        <f>IF(C792="", "", IF(C792&gt;=900, "S", IF(C792&gt;=800, "A", IF(C792&gt;=700, "B", IF(C792&gt;=600, "C", IF(C792&gt;=500, "D", "F"))))))</f>
        <v/>
      </c>
    </row>
    <row r="793">
      <c r="B793" t="str">
        <f>IF(C793="", "", IF(C793&gt;=900, "S", IF(C793&gt;=800, "A", IF(C793&gt;=700, "B", IF(C793&gt;=600, "C", IF(C793&gt;=500, "D", "F"))))))</f>
        <v/>
      </c>
    </row>
    <row r="794">
      <c r="B794" t="str">
        <f>IF(C794="", "", IF(C794&gt;=900, "S", IF(C794&gt;=800, "A", IF(C794&gt;=700, "B", IF(C794&gt;=600, "C", IF(C794&gt;=500, "D", "F"))))))</f>
        <v/>
      </c>
    </row>
    <row r="795">
      <c r="B795" t="str">
        <f>IF(C795="", "", IF(C795&gt;=900, "S", IF(C795&gt;=800, "A", IF(C795&gt;=700, "B", IF(C795&gt;=600, "C", IF(C795&gt;=500, "D", "F"))))))</f>
        <v/>
      </c>
    </row>
    <row r="796">
      <c r="B796" t="str">
        <f>IF(C796="", "", IF(C796&gt;=900, "S", IF(C796&gt;=800, "A", IF(C796&gt;=700, "B", IF(C796&gt;=600, "C", IF(C796&gt;=500, "D", "F"))))))</f>
        <v/>
      </c>
    </row>
    <row r="797">
      <c r="B797" t="str">
        <f>IF(C797="", "", IF(C797&gt;=900, "S", IF(C797&gt;=800, "A", IF(C797&gt;=700, "B", IF(C797&gt;=600, "C", IF(C797&gt;=500, "D", "F"))))))</f>
        <v/>
      </c>
    </row>
    <row r="798">
      <c r="B798" t="str">
        <f>IF(C798="", "", IF(C798&gt;=900, "S", IF(C798&gt;=800, "A", IF(C798&gt;=700, "B", IF(C798&gt;=600, "C", IF(C798&gt;=500, "D", "F"))))))</f>
        <v/>
      </c>
    </row>
    <row r="799">
      <c r="B799" t="str">
        <f>IF(C799="", "", IF(C799&gt;=900, "S", IF(C799&gt;=800, "A", IF(C799&gt;=700, "B", IF(C799&gt;=600, "C", IF(C799&gt;=500, "D", "F"))))))</f>
        <v/>
      </c>
    </row>
    <row r="800">
      <c r="B800" t="str">
        <f>IF(C800="", "", IF(C800&gt;=900, "S", IF(C800&gt;=800, "A", IF(C800&gt;=700, "B", IF(C800&gt;=600, "C", IF(C800&gt;=500, "D", "F"))))))</f>
        <v/>
      </c>
    </row>
    <row r="801">
      <c r="B801" t="str">
        <f>IF(C801="", "", IF(C801&gt;=900, "S", IF(C801&gt;=800, "A", IF(C801&gt;=700, "B", IF(C801&gt;=600, "C", IF(C801&gt;=500, "D", "F"))))))</f>
        <v/>
      </c>
    </row>
    <row r="802">
      <c r="B802" t="str">
        <f>IF(C802="", "", IF(C802&gt;=900, "S", IF(C802&gt;=800, "A", IF(C802&gt;=700, "B", IF(C802&gt;=600, "C", IF(C802&gt;=500, "D", "F"))))))</f>
        <v/>
      </c>
    </row>
    <row r="803">
      <c r="B803" t="str">
        <f>IF(C803="", "", IF(C803&gt;=900, "S", IF(C803&gt;=800, "A", IF(C803&gt;=700, "B", IF(C803&gt;=600, "C", IF(C803&gt;=500, "D", "F"))))))</f>
        <v/>
      </c>
    </row>
    <row r="804">
      <c r="B804" t="str">
        <f>IF(C804="", "", IF(C804&gt;=900, "S", IF(C804&gt;=800, "A", IF(C804&gt;=700, "B", IF(C804&gt;=600, "C", IF(C804&gt;=500, "D", "F"))))))</f>
        <v/>
      </c>
    </row>
    <row r="805">
      <c r="B805" t="str">
        <f>IF(C805="", "", IF(C805&gt;=900, "S", IF(C805&gt;=800, "A", IF(C805&gt;=700, "B", IF(C805&gt;=600, "C", IF(C805&gt;=500, "D", "F"))))))</f>
        <v/>
      </c>
    </row>
    <row r="806">
      <c r="B806" t="str">
        <f>IF(C806="", "", IF(C806&gt;=900, "S", IF(C806&gt;=800, "A", IF(C806&gt;=700, "B", IF(C806&gt;=600, "C", IF(C806&gt;=500, "D", "F"))))))</f>
        <v/>
      </c>
    </row>
    <row r="807">
      <c r="B807" t="str">
        <f>IF(C807="", "", IF(C807&gt;=900, "S", IF(C807&gt;=800, "A", IF(C807&gt;=700, "B", IF(C807&gt;=600, "C", IF(C807&gt;=500, "D", "F"))))))</f>
        <v/>
      </c>
    </row>
    <row r="808">
      <c r="B808" t="str">
        <f>IF(C808="", "", IF(C808&gt;=900, "S", IF(C808&gt;=800, "A", IF(C808&gt;=700, "B", IF(C808&gt;=600, "C", IF(C808&gt;=500, "D", "F"))))))</f>
        <v/>
      </c>
    </row>
    <row r="809">
      <c r="B809" t="str">
        <f>IF(C809="", "", IF(C809&gt;=900, "S", IF(C809&gt;=800, "A", IF(C809&gt;=700, "B", IF(C809&gt;=600, "C", IF(C809&gt;=500, "D", "F"))))))</f>
        <v/>
      </c>
    </row>
    <row r="810">
      <c r="B810" t="str">
        <f>IF(C810="", "", IF(C810&gt;=900, "S", IF(C810&gt;=800, "A", IF(C810&gt;=700, "B", IF(C810&gt;=600, "C", IF(C810&gt;=500, "D", "F"))))))</f>
        <v/>
      </c>
    </row>
    <row r="811">
      <c r="B811" t="str">
        <f>IF(C811="", "", IF(C811&gt;=900, "S", IF(C811&gt;=800, "A", IF(C811&gt;=700, "B", IF(C811&gt;=600, "C", IF(C811&gt;=500, "D", "F"))))))</f>
        <v/>
      </c>
    </row>
    <row r="812">
      <c r="B812" t="str">
        <f>IF(C812="", "", IF(C812&gt;=900, "S", IF(C812&gt;=800, "A", IF(C812&gt;=700, "B", IF(C812&gt;=600, "C", IF(C812&gt;=500, "D", "F"))))))</f>
        <v/>
      </c>
    </row>
    <row r="813">
      <c r="B813" t="str">
        <f>IF(C813="", "", IF(C813&gt;=900, "S", IF(C813&gt;=800, "A", IF(C813&gt;=700, "B", IF(C813&gt;=600, "C", IF(C813&gt;=500, "D", "F"))))))</f>
        <v/>
      </c>
    </row>
    <row r="814">
      <c r="B814" t="str">
        <f>IF(C814="", "", IF(C814&gt;=900, "S", IF(C814&gt;=800, "A", IF(C814&gt;=700, "B", IF(C814&gt;=600, "C", IF(C814&gt;=500, "D", "F"))))))</f>
        <v/>
      </c>
    </row>
    <row r="815">
      <c r="B815" t="str">
        <f>IF(C815="", "", IF(C815&gt;=900, "S", IF(C815&gt;=800, "A", IF(C815&gt;=700, "B", IF(C815&gt;=600, "C", IF(C815&gt;=500, "D", "F"))))))</f>
        <v/>
      </c>
    </row>
    <row r="816">
      <c r="B816" t="str">
        <f>IF(C816="", "", IF(C816&gt;=900, "S", IF(C816&gt;=800, "A", IF(C816&gt;=700, "B", IF(C816&gt;=600, "C", IF(C816&gt;=500, "D", "F"))))))</f>
        <v/>
      </c>
    </row>
    <row r="817">
      <c r="B817" t="str">
        <f>IF(C817="", "", IF(C817&gt;=900, "S", IF(C817&gt;=800, "A", IF(C817&gt;=700, "B", IF(C817&gt;=600, "C", IF(C817&gt;=500, "D", "F"))))))</f>
        <v/>
      </c>
    </row>
    <row r="818">
      <c r="B818" t="str">
        <f>IF(C818="", "", IF(C818&gt;=900, "S", IF(C818&gt;=800, "A", IF(C818&gt;=700, "B", IF(C818&gt;=600, "C", IF(C818&gt;=500, "D", "F"))))))</f>
        <v/>
      </c>
    </row>
    <row r="819">
      <c r="B819" t="str">
        <f>IF(C819="", "", IF(C819&gt;=900, "S", IF(C819&gt;=800, "A", IF(C819&gt;=700, "B", IF(C819&gt;=600, "C", IF(C819&gt;=500, "D", "F"))))))</f>
        <v/>
      </c>
    </row>
    <row r="820">
      <c r="B820" t="str">
        <f>IF(C820="", "", IF(C820&gt;=900, "S", IF(C820&gt;=800, "A", IF(C820&gt;=700, "B", IF(C820&gt;=600, "C", IF(C820&gt;=500, "D", "F"))))))</f>
        <v/>
      </c>
    </row>
    <row r="821">
      <c r="B821" t="str">
        <f>IF(C821="", "", IF(C821&gt;=900, "S", IF(C821&gt;=800, "A", IF(C821&gt;=700, "B", IF(C821&gt;=600, "C", IF(C821&gt;=500, "D", "F"))))))</f>
        <v/>
      </c>
    </row>
    <row r="822">
      <c r="B822" t="str">
        <f>IF(C822="", "", IF(C822&gt;=900, "S", IF(C822&gt;=800, "A", IF(C822&gt;=700, "B", IF(C822&gt;=600, "C", IF(C822&gt;=500, "D", "F"))))))</f>
        <v/>
      </c>
    </row>
    <row r="823">
      <c r="B823" t="str">
        <f>IF(C823="", "", IF(C823&gt;=900, "S", IF(C823&gt;=800, "A", IF(C823&gt;=700, "B", IF(C823&gt;=600, "C", IF(C823&gt;=500, "D", "F"))))))</f>
        <v/>
      </c>
    </row>
    <row r="824">
      <c r="B824" t="str">
        <f>IF(C824="", "", IF(C824&gt;=900, "S", IF(C824&gt;=800, "A", IF(C824&gt;=700, "B", IF(C824&gt;=600, "C", IF(C824&gt;=500, "D", "F"))))))</f>
        <v/>
      </c>
    </row>
    <row r="825">
      <c r="B825" t="str">
        <f>IF(C825="", "", IF(C825&gt;=900, "S", IF(C825&gt;=800, "A", IF(C825&gt;=700, "B", IF(C825&gt;=600, "C", IF(C825&gt;=500, "D", "F"))))))</f>
        <v/>
      </c>
    </row>
    <row r="826">
      <c r="B826" t="str">
        <f>IF(C826="", "", IF(C826&gt;=900, "S", IF(C826&gt;=800, "A", IF(C826&gt;=700, "B", IF(C826&gt;=600, "C", IF(C826&gt;=500, "D", "F"))))))</f>
        <v/>
      </c>
    </row>
    <row r="827">
      <c r="B827" t="str">
        <f>IF(C827="", "", IF(C827&gt;=900, "S", IF(C827&gt;=800, "A", IF(C827&gt;=700, "B", IF(C827&gt;=600, "C", IF(C827&gt;=500, "D", "F"))))))</f>
        <v/>
      </c>
    </row>
    <row r="828">
      <c r="B828" t="str">
        <f>IF(C828="", "", IF(C828&gt;=900, "S", IF(C828&gt;=800, "A", IF(C828&gt;=700, "B", IF(C828&gt;=600, "C", IF(C828&gt;=500, "D", "F"))))))</f>
        <v/>
      </c>
    </row>
    <row r="829">
      <c r="B829" t="str">
        <f>IF(C829="", "", IF(C829&gt;=900, "S", IF(C829&gt;=800, "A", IF(C829&gt;=700, "B", IF(C829&gt;=600, "C", IF(C829&gt;=500, "D", "F"))))))</f>
        <v/>
      </c>
    </row>
    <row r="830">
      <c r="B830" t="str">
        <f>IF(C830="", "", IF(C830&gt;=900, "S", IF(C830&gt;=800, "A", IF(C830&gt;=700, "B", IF(C830&gt;=600, "C", IF(C830&gt;=500, "D", "F"))))))</f>
        <v/>
      </c>
    </row>
    <row r="831">
      <c r="B831" t="str">
        <f>IF(C831="", "", IF(C831&gt;=900, "S", IF(C831&gt;=800, "A", IF(C831&gt;=700, "B", IF(C831&gt;=600, "C", IF(C831&gt;=500, "D", "F"))))))</f>
        <v/>
      </c>
    </row>
    <row r="832">
      <c r="B832" t="str">
        <f>IF(C832="", "", IF(C832&gt;=900, "S", IF(C832&gt;=800, "A", IF(C832&gt;=700, "B", IF(C832&gt;=600, "C", IF(C832&gt;=500, "D", "F"))))))</f>
        <v/>
      </c>
    </row>
    <row r="833">
      <c r="B833" t="str">
        <f>IF(C833="", "", IF(C833&gt;=900, "S", IF(C833&gt;=800, "A", IF(C833&gt;=700, "B", IF(C833&gt;=600, "C", IF(C833&gt;=500, "D", "F"))))))</f>
        <v/>
      </c>
    </row>
    <row r="834">
      <c r="B834" t="str">
        <f>IF(C834="", "", IF(C834&gt;=900, "S", IF(C834&gt;=800, "A", IF(C834&gt;=700, "B", IF(C834&gt;=600, "C", IF(C834&gt;=500, "D", "F"))))))</f>
        <v/>
      </c>
    </row>
    <row r="835">
      <c r="B835" t="str">
        <f>IF(C835="", "", IF(C835&gt;=900, "S", IF(C835&gt;=800, "A", IF(C835&gt;=700, "B", IF(C835&gt;=600, "C", IF(C835&gt;=500, "D", "F"))))))</f>
        <v/>
      </c>
    </row>
    <row r="836">
      <c r="B836" t="str">
        <f>IF(C836="", "", IF(C836&gt;=900, "S", IF(C836&gt;=800, "A", IF(C836&gt;=700, "B", IF(C836&gt;=600, "C", IF(C836&gt;=500, "D", "F"))))))</f>
        <v/>
      </c>
    </row>
    <row r="837">
      <c r="B837" t="str">
        <f>IF(C837="", "", IF(C837&gt;=900, "S", IF(C837&gt;=800, "A", IF(C837&gt;=700, "B", IF(C837&gt;=600, "C", IF(C837&gt;=500, "D", "F"))))))</f>
        <v/>
      </c>
    </row>
    <row r="838">
      <c r="B838" t="str">
        <f>IF(C838="", "", IF(C838&gt;=900, "S", IF(C838&gt;=800, "A", IF(C838&gt;=700, "B", IF(C838&gt;=600, "C", IF(C838&gt;=500, "D", "F"))))))</f>
        <v/>
      </c>
    </row>
    <row r="839">
      <c r="B839" t="str">
        <f>IF(C839="", "", IF(C839&gt;=900, "S", IF(C839&gt;=800, "A", IF(C839&gt;=700, "B", IF(C839&gt;=600, "C", IF(C839&gt;=500, "D", "F"))))))</f>
        <v/>
      </c>
    </row>
    <row r="840">
      <c r="B840" t="str">
        <f>IF(C840="", "", IF(C840&gt;=900, "S", IF(C840&gt;=800, "A", IF(C840&gt;=700, "B", IF(C840&gt;=600, "C", IF(C840&gt;=500, "D", "F"))))))</f>
        <v/>
      </c>
    </row>
    <row r="841">
      <c r="B841" t="str">
        <f>IF(C841="", "", IF(C841&gt;=900, "S", IF(C841&gt;=800, "A", IF(C841&gt;=700, "B", IF(C841&gt;=600, "C", IF(C841&gt;=500, "D", "F"))))))</f>
        <v/>
      </c>
    </row>
    <row r="842">
      <c r="B842" t="str">
        <f>IF(C842="", "", IF(C842&gt;=900, "S", IF(C842&gt;=800, "A", IF(C842&gt;=700, "B", IF(C842&gt;=600, "C", IF(C842&gt;=500, "D", "F"))))))</f>
        <v/>
      </c>
    </row>
    <row r="843">
      <c r="B843" t="str">
        <f>IF(C843="", "", IF(C843&gt;=900, "S", IF(C843&gt;=800, "A", IF(C843&gt;=700, "B", IF(C843&gt;=600, "C", IF(C843&gt;=500, "D", "F"))))))</f>
        <v/>
      </c>
    </row>
    <row r="844">
      <c r="B844" t="str">
        <f>IF(C844="", "", IF(C844&gt;=900, "S", IF(C844&gt;=800, "A", IF(C844&gt;=700, "B", IF(C844&gt;=600, "C", IF(C844&gt;=500, "D", "F"))))))</f>
        <v/>
      </c>
    </row>
    <row r="845">
      <c r="B845" t="str">
        <f>IF(C845="", "", IF(C845&gt;=900, "S", IF(C845&gt;=800, "A", IF(C845&gt;=700, "B", IF(C845&gt;=600, "C", IF(C845&gt;=500, "D", "F"))))))</f>
        <v/>
      </c>
    </row>
    <row r="846">
      <c r="B846" t="str">
        <f>IF(C846="", "", IF(C846&gt;=900, "S", IF(C846&gt;=800, "A", IF(C846&gt;=700, "B", IF(C846&gt;=600, "C", IF(C846&gt;=500, "D", "F"))))))</f>
        <v/>
      </c>
    </row>
    <row r="847">
      <c r="B847" t="str">
        <f>IF(C847="", "", IF(C847&gt;=900, "S", IF(C847&gt;=800, "A", IF(C847&gt;=700, "B", IF(C847&gt;=600, "C", IF(C847&gt;=500, "D", "F"))))))</f>
        <v/>
      </c>
    </row>
    <row r="848">
      <c r="B848" t="str">
        <f>IF(C848="", "", IF(C848&gt;=900, "S", IF(C848&gt;=800, "A", IF(C848&gt;=700, "B", IF(C848&gt;=600, "C", IF(C848&gt;=500, "D", "F"))))))</f>
        <v/>
      </c>
    </row>
    <row r="849">
      <c r="B849" t="str">
        <f>IF(C849="", "", IF(C849&gt;=900, "S", IF(C849&gt;=800, "A", IF(C849&gt;=700, "B", IF(C849&gt;=600, "C", IF(C849&gt;=500, "D", "F"))))))</f>
        <v/>
      </c>
    </row>
    <row r="850">
      <c r="B850" t="str">
        <f>IF(C850="", "", IF(C850&gt;=900, "S", IF(C850&gt;=800, "A", IF(C850&gt;=700, "B", IF(C850&gt;=600, "C", IF(C850&gt;=500, "D", "F"))))))</f>
        <v/>
      </c>
    </row>
    <row r="851">
      <c r="B851" t="str">
        <f>IF(C851="", "", IF(C851&gt;=900, "S", IF(C851&gt;=800, "A", IF(C851&gt;=700, "B", IF(C851&gt;=600, "C", IF(C851&gt;=500, "D", "F"))))))</f>
        <v/>
      </c>
    </row>
    <row r="852">
      <c r="B852" t="str">
        <f>IF(C852="", "", IF(C852&gt;=900, "S", IF(C852&gt;=800, "A", IF(C852&gt;=700, "B", IF(C852&gt;=600, "C", IF(C852&gt;=500, "D", "F"))))))</f>
        <v/>
      </c>
    </row>
    <row r="853">
      <c r="B853" t="str">
        <f>IF(C853="", "", IF(C853&gt;=900, "S", IF(C853&gt;=800, "A", IF(C853&gt;=700, "B", IF(C853&gt;=600, "C", IF(C853&gt;=500, "D", "F"))))))</f>
        <v/>
      </c>
    </row>
    <row r="854">
      <c r="B854" t="str">
        <f>IF(C854="", "", IF(C854&gt;=900, "S", IF(C854&gt;=800, "A", IF(C854&gt;=700, "B", IF(C854&gt;=600, "C", IF(C854&gt;=500, "D", "F"))))))</f>
        <v/>
      </c>
    </row>
    <row r="855">
      <c r="B855" t="str">
        <f>IF(C855="", "", IF(C855&gt;=900, "S", IF(C855&gt;=800, "A", IF(C855&gt;=700, "B", IF(C855&gt;=600, "C", IF(C855&gt;=500, "D", "F"))))))</f>
        <v/>
      </c>
    </row>
    <row r="856">
      <c r="B856" t="str">
        <f>IF(C856="", "", IF(C856&gt;=900, "S", IF(C856&gt;=800, "A", IF(C856&gt;=700, "B", IF(C856&gt;=600, "C", IF(C856&gt;=500, "D", "F"))))))</f>
        <v/>
      </c>
    </row>
    <row r="857">
      <c r="B857" t="str">
        <f>IF(C857="", "", IF(C857&gt;=900, "S", IF(C857&gt;=800, "A", IF(C857&gt;=700, "B", IF(C857&gt;=600, "C", IF(C857&gt;=500, "D", "F"))))))</f>
        <v/>
      </c>
    </row>
    <row r="858">
      <c r="B858" t="str">
        <f>IF(C858="", "", IF(C858&gt;=900, "S", IF(C858&gt;=800, "A", IF(C858&gt;=700, "B", IF(C858&gt;=600, "C", IF(C858&gt;=500, "D", "F"))))))</f>
        <v/>
      </c>
    </row>
    <row r="859">
      <c r="B859" t="str">
        <f>IF(C859="", "", IF(C859&gt;=900, "S", IF(C859&gt;=800, "A", IF(C859&gt;=700, "B", IF(C859&gt;=600, "C", IF(C859&gt;=500, "D", "F"))))))</f>
        <v/>
      </c>
    </row>
    <row r="860">
      <c r="B860" t="str">
        <f>IF(C860="", "", IF(C860&gt;=900, "S", IF(C860&gt;=800, "A", IF(C860&gt;=700, "B", IF(C860&gt;=600, "C", IF(C860&gt;=500, "D", "F"))))))</f>
        <v/>
      </c>
    </row>
    <row r="861">
      <c r="B861" t="str">
        <f>IF(C861="", "", IF(C861&gt;=900, "S", IF(C861&gt;=800, "A", IF(C861&gt;=700, "B", IF(C861&gt;=600, "C", IF(C861&gt;=500, "D", "F"))))))</f>
        <v/>
      </c>
    </row>
    <row r="862">
      <c r="B862" t="str">
        <f>IF(C862="", "", IF(C862&gt;=900, "S", IF(C862&gt;=800, "A", IF(C862&gt;=700, "B", IF(C862&gt;=600, "C", IF(C862&gt;=500, "D", "F"))))))</f>
        <v/>
      </c>
    </row>
    <row r="863">
      <c r="B863" t="str">
        <f>IF(C863="", "", IF(C863&gt;=900, "S", IF(C863&gt;=800, "A", IF(C863&gt;=700, "B", IF(C863&gt;=600, "C", IF(C863&gt;=500, "D", "F"))))))</f>
        <v/>
      </c>
    </row>
    <row r="864">
      <c r="B864" t="str">
        <f>IF(C864="", "", IF(C864&gt;=900, "S", IF(C864&gt;=800, "A", IF(C864&gt;=700, "B", IF(C864&gt;=600, "C", IF(C864&gt;=500, "D", "F"))))))</f>
        <v/>
      </c>
    </row>
    <row r="865">
      <c r="B865" t="str">
        <f>IF(C865="", "", IF(C865&gt;=900, "S", IF(C865&gt;=800, "A", IF(C865&gt;=700, "B", IF(C865&gt;=600, "C", IF(C865&gt;=500, "D", "F"))))))</f>
        <v/>
      </c>
    </row>
    <row r="866">
      <c r="B866" t="str">
        <f>IF(C866="", "", IF(C866&gt;=900, "S", IF(C866&gt;=800, "A", IF(C866&gt;=700, "B", IF(C866&gt;=600, "C", IF(C866&gt;=500, "D", "F"))))))</f>
        <v/>
      </c>
    </row>
    <row r="867">
      <c r="B867" t="str">
        <f>IF(C867="", "", IF(C867&gt;=900, "S", IF(C867&gt;=800, "A", IF(C867&gt;=700, "B", IF(C867&gt;=600, "C", IF(C867&gt;=500, "D", "F"))))))</f>
        <v/>
      </c>
    </row>
    <row r="868">
      <c r="B868" t="str">
        <f>IF(C868="", "", IF(C868&gt;=900, "S", IF(C868&gt;=800, "A", IF(C868&gt;=700, "B", IF(C868&gt;=600, "C", IF(C868&gt;=500, "D", "F"))))))</f>
        <v/>
      </c>
    </row>
    <row r="869">
      <c r="B869" t="str">
        <f>IF(C869="", "", IF(C869&gt;=900, "S", IF(C869&gt;=800, "A", IF(C869&gt;=700, "B", IF(C869&gt;=600, "C", IF(C869&gt;=500, "D", "F"))))))</f>
        <v/>
      </c>
    </row>
    <row r="870">
      <c r="B870" t="str">
        <f>IF(C870="", "", IF(C870&gt;=900, "S", IF(C870&gt;=800, "A", IF(C870&gt;=700, "B", IF(C870&gt;=600, "C", IF(C870&gt;=500, "D", "F"))))))</f>
        <v/>
      </c>
    </row>
    <row r="871">
      <c r="B871" t="str">
        <f>IF(C871="", "", IF(C871&gt;=900, "S", IF(C871&gt;=800, "A", IF(C871&gt;=700, "B", IF(C871&gt;=600, "C", IF(C871&gt;=500, "D", "F"))))))</f>
        <v/>
      </c>
    </row>
    <row r="872">
      <c r="B872" t="str">
        <f>IF(C872="", "", IF(C872&gt;=900, "S", IF(C872&gt;=800, "A", IF(C872&gt;=700, "B", IF(C872&gt;=600, "C", IF(C872&gt;=500, "D", "F"))))))</f>
        <v/>
      </c>
    </row>
    <row r="873">
      <c r="B873" t="str">
        <f>IF(C873="", "", IF(C873&gt;=900, "S", IF(C873&gt;=800, "A", IF(C873&gt;=700, "B", IF(C873&gt;=600, "C", IF(C873&gt;=500, "D", "F"))))))</f>
        <v/>
      </c>
    </row>
    <row r="874">
      <c r="B874" t="str">
        <f>IF(C874="", "", IF(C874&gt;=900, "S", IF(C874&gt;=800, "A", IF(C874&gt;=700, "B", IF(C874&gt;=600, "C", IF(C874&gt;=500, "D", "F"))))))</f>
        <v/>
      </c>
    </row>
    <row r="875">
      <c r="B875" t="str">
        <f>IF(C875="", "", IF(C875&gt;=900, "S", IF(C875&gt;=800, "A", IF(C875&gt;=700, "B", IF(C875&gt;=600, "C", IF(C875&gt;=500, "D", "F"))))))</f>
        <v/>
      </c>
    </row>
    <row r="876">
      <c r="B876" t="str">
        <f>IF(C876="", "", IF(C876&gt;=900, "S", IF(C876&gt;=800, "A", IF(C876&gt;=700, "B", IF(C876&gt;=600, "C", IF(C876&gt;=500, "D", "F"))))))</f>
        <v/>
      </c>
    </row>
    <row r="877">
      <c r="B877" t="str">
        <f>IF(C877="", "", IF(C877&gt;=900, "S", IF(C877&gt;=800, "A", IF(C877&gt;=700, "B", IF(C877&gt;=600, "C", IF(C877&gt;=500, "D", "F"))))))</f>
        <v/>
      </c>
    </row>
    <row r="878">
      <c r="B878" t="str">
        <f>IF(C878="", "", IF(C878&gt;=900, "S", IF(C878&gt;=800, "A", IF(C878&gt;=700, "B", IF(C878&gt;=600, "C", IF(C878&gt;=500, "D", "F"))))))</f>
        <v/>
      </c>
    </row>
    <row r="879">
      <c r="B879" t="str">
        <f>IF(C879="", "", IF(C879&gt;=900, "S", IF(C879&gt;=800, "A", IF(C879&gt;=700, "B", IF(C879&gt;=600, "C", IF(C879&gt;=500, "D", "F"))))))</f>
        <v/>
      </c>
    </row>
    <row r="880">
      <c r="B880" t="str">
        <f>IF(C880="", "", IF(C880&gt;=900, "S", IF(C880&gt;=800, "A", IF(C880&gt;=700, "B", IF(C880&gt;=600, "C", IF(C880&gt;=500, "D", "F"))))))</f>
        <v/>
      </c>
    </row>
    <row r="881">
      <c r="B881" t="str">
        <f>IF(C881="", "", IF(C881&gt;=900, "S", IF(C881&gt;=800, "A", IF(C881&gt;=700, "B", IF(C881&gt;=600, "C", IF(C881&gt;=500, "D", "F"))))))</f>
        <v/>
      </c>
    </row>
    <row r="882">
      <c r="B882" t="str">
        <f>IF(C882="", "", IF(C882&gt;=900, "S", IF(C882&gt;=800, "A", IF(C882&gt;=700, "B", IF(C882&gt;=600, "C", IF(C882&gt;=500, "D", "F"))))))</f>
        <v/>
      </c>
    </row>
    <row r="883">
      <c r="B883" t="str">
        <f>IF(C883="", "", IF(C883&gt;=900, "S", IF(C883&gt;=800, "A", IF(C883&gt;=700, "B", IF(C883&gt;=600, "C", IF(C883&gt;=500, "D", "F"))))))</f>
        <v/>
      </c>
    </row>
    <row r="884">
      <c r="B884" t="str">
        <f>IF(C884="", "", IF(C884&gt;=900, "S", IF(C884&gt;=800, "A", IF(C884&gt;=700, "B", IF(C884&gt;=600, "C", IF(C884&gt;=500, "D", "F"))))))</f>
        <v/>
      </c>
    </row>
    <row r="885">
      <c r="B885" t="str">
        <f>IF(C885="", "", IF(C885&gt;=900, "S", IF(C885&gt;=800, "A", IF(C885&gt;=700, "B", IF(C885&gt;=600, "C", IF(C885&gt;=500, "D", "F"))))))</f>
        <v/>
      </c>
    </row>
    <row r="886">
      <c r="B886" t="str">
        <f>IF(C886="", "", IF(C886&gt;=900, "S", IF(C886&gt;=800, "A", IF(C886&gt;=700, "B", IF(C886&gt;=600, "C", IF(C886&gt;=500, "D", "F"))))))</f>
        <v/>
      </c>
    </row>
    <row r="887">
      <c r="B887" t="str">
        <f>IF(C887="", "", IF(C887&gt;=900, "S", IF(C887&gt;=800, "A", IF(C887&gt;=700, "B", IF(C887&gt;=600, "C", IF(C887&gt;=500, "D", "F"))))))</f>
        <v/>
      </c>
    </row>
    <row r="888">
      <c r="B888" t="str">
        <f>IF(C888="", "", IF(C888&gt;=900, "S", IF(C888&gt;=800, "A", IF(C888&gt;=700, "B", IF(C888&gt;=600, "C", IF(C888&gt;=500, "D", "F"))))))</f>
        <v/>
      </c>
    </row>
    <row r="889">
      <c r="B889" t="str">
        <f>IF(C889="", "", IF(C889&gt;=900, "S", IF(C889&gt;=800, "A", IF(C889&gt;=700, "B", IF(C889&gt;=600, "C", IF(C889&gt;=500, "D", "F"))))))</f>
        <v/>
      </c>
    </row>
    <row r="890">
      <c r="B890" t="str">
        <f>IF(C890="", "", IF(C890&gt;=900, "S", IF(C890&gt;=800, "A", IF(C890&gt;=700, "B", IF(C890&gt;=600, "C", IF(C890&gt;=500, "D", "F"))))))</f>
        <v/>
      </c>
    </row>
    <row r="891">
      <c r="B891" t="str">
        <f>IF(C891="", "", IF(C891&gt;=900, "S", IF(C891&gt;=800, "A", IF(C891&gt;=700, "B", IF(C891&gt;=600, "C", IF(C891&gt;=500, "D", "F"))))))</f>
        <v/>
      </c>
    </row>
    <row r="892">
      <c r="B892" t="str">
        <f>IF(C892="", "", IF(C892&gt;=900, "S", IF(C892&gt;=800, "A", IF(C892&gt;=700, "B", IF(C892&gt;=600, "C", IF(C892&gt;=500, "D", "F"))))))</f>
        <v/>
      </c>
    </row>
    <row r="893">
      <c r="B893" t="str">
        <f>IF(C893="", "", IF(C893&gt;=900, "S", IF(C893&gt;=800, "A", IF(C893&gt;=700, "B", IF(C893&gt;=600, "C", IF(C893&gt;=500, "D", "F"))))))</f>
        <v/>
      </c>
    </row>
    <row r="894">
      <c r="B894" t="str">
        <f>IF(C894="", "", IF(C894&gt;=900, "S", IF(C894&gt;=800, "A", IF(C894&gt;=700, "B", IF(C894&gt;=600, "C", IF(C894&gt;=500, "D", "F"))))))</f>
        <v/>
      </c>
    </row>
    <row r="895">
      <c r="B895" t="str">
        <f>IF(C895="", "", IF(C895&gt;=900, "S", IF(C895&gt;=800, "A", IF(C895&gt;=700, "B", IF(C895&gt;=600, "C", IF(C895&gt;=500, "D", "F"))))))</f>
        <v/>
      </c>
    </row>
    <row r="896">
      <c r="B896" t="str">
        <f>IF(C896="", "", IF(C896&gt;=900, "S", IF(C896&gt;=800, "A", IF(C896&gt;=700, "B", IF(C896&gt;=600, "C", IF(C896&gt;=500, "D", "F"))))))</f>
        <v/>
      </c>
    </row>
    <row r="897">
      <c r="B897" t="str">
        <f>IF(C897="", "", IF(C897&gt;=900, "S", IF(C897&gt;=800, "A", IF(C897&gt;=700, "B", IF(C897&gt;=600, "C", IF(C897&gt;=500, "D", "F"))))))</f>
        <v/>
      </c>
    </row>
    <row r="898">
      <c r="B898" t="str">
        <f>IF(C898="", "", IF(C898&gt;=900, "S", IF(C898&gt;=800, "A", IF(C898&gt;=700, "B", IF(C898&gt;=600, "C", IF(C898&gt;=500, "D", "F"))))))</f>
        <v/>
      </c>
    </row>
    <row r="899">
      <c r="B899" t="str">
        <f>IF(C899="", "", IF(C899&gt;=900, "S", IF(C899&gt;=800, "A", IF(C899&gt;=700, "B", IF(C899&gt;=600, "C", IF(C899&gt;=500, "D", "F"))))))</f>
        <v/>
      </c>
    </row>
    <row r="900">
      <c r="B900" t="str">
        <f>IF(C900="", "", IF(C900&gt;=900, "S", IF(C900&gt;=800, "A", IF(C900&gt;=700, "B", IF(C900&gt;=600, "C", IF(C900&gt;=500, "D", "F"))))))</f>
        <v/>
      </c>
    </row>
    <row r="901">
      <c r="B901" t="str">
        <f>IF(C901="", "", IF(C901&gt;=900, "S", IF(C901&gt;=800, "A", IF(C901&gt;=700, "B", IF(C901&gt;=600, "C", IF(C901&gt;=500, "D", "F"))))))</f>
        <v/>
      </c>
    </row>
    <row r="902">
      <c r="B902" t="str">
        <f>IF(C902="", "", IF(C902&gt;=900, "S", IF(C902&gt;=800, "A", IF(C902&gt;=700, "B", IF(C902&gt;=600, "C", IF(C902&gt;=500, "D", "F"))))))</f>
        <v/>
      </c>
    </row>
    <row r="903">
      <c r="B903" t="str">
        <f>IF(C903="", "", IF(C903&gt;=900, "S", IF(C903&gt;=800, "A", IF(C903&gt;=700, "B", IF(C903&gt;=600, "C", IF(C903&gt;=500, "D", "F"))))))</f>
        <v/>
      </c>
    </row>
    <row r="904">
      <c r="B904" t="str">
        <f>IF(C904="", "", IF(C904&gt;=900, "S", IF(C904&gt;=800, "A", IF(C904&gt;=700, "B", IF(C904&gt;=600, "C", IF(C904&gt;=500, "D", "F"))))))</f>
        <v/>
      </c>
    </row>
    <row r="905">
      <c r="B905" t="str">
        <f>IF(C905="", "", IF(C905&gt;=900, "S", IF(C905&gt;=800, "A", IF(C905&gt;=700, "B", IF(C905&gt;=600, "C", IF(C905&gt;=500, "D", "F"))))))</f>
        <v/>
      </c>
    </row>
    <row r="906">
      <c r="B906" t="str">
        <f>IF(C906="", "", IF(C906&gt;=900, "S", IF(C906&gt;=800, "A", IF(C906&gt;=700, "B", IF(C906&gt;=600, "C", IF(C906&gt;=500, "D", "F"))))))</f>
        <v/>
      </c>
    </row>
    <row r="907">
      <c r="B907" t="str">
        <f>IF(C907="", "", IF(C907&gt;=900, "S", IF(C907&gt;=800, "A", IF(C907&gt;=700, "B", IF(C907&gt;=600, "C", IF(C907&gt;=500, "D", "F"))))))</f>
        <v/>
      </c>
    </row>
    <row r="908">
      <c r="B908" t="str">
        <f>IF(C908="", "", IF(C908&gt;=900, "S", IF(C908&gt;=800, "A", IF(C908&gt;=700, "B", IF(C908&gt;=600, "C", IF(C908&gt;=500, "D", "F"))))))</f>
        <v/>
      </c>
    </row>
    <row r="909">
      <c r="B909" t="str">
        <f>IF(C909="", "", IF(C909&gt;=900, "S", IF(C909&gt;=800, "A", IF(C909&gt;=700, "B", IF(C909&gt;=600, "C", IF(C909&gt;=500, "D", "F"))))))</f>
        <v/>
      </c>
    </row>
    <row r="910">
      <c r="B910" t="str">
        <f>IF(C910="", "", IF(C910&gt;=900, "S", IF(C910&gt;=800, "A", IF(C910&gt;=700, "B", IF(C910&gt;=600, "C", IF(C910&gt;=500, "D", "F"))))))</f>
        <v/>
      </c>
    </row>
    <row r="911">
      <c r="B911" t="str">
        <f>IF(C911="", "", IF(C911&gt;=900, "S", IF(C911&gt;=800, "A", IF(C911&gt;=700, "B", IF(C911&gt;=600, "C", IF(C911&gt;=500, "D", "F"))))))</f>
        <v/>
      </c>
    </row>
    <row r="912">
      <c r="B912" t="str">
        <f>IF(C912="", "", IF(C912&gt;=900, "S", IF(C912&gt;=800, "A", IF(C912&gt;=700, "B", IF(C912&gt;=600, "C", IF(C912&gt;=500, "D", "F"))))))</f>
        <v/>
      </c>
    </row>
    <row r="913">
      <c r="B913" t="str">
        <f>IF(C913="", "", IF(C913&gt;=900, "S", IF(C913&gt;=800, "A", IF(C913&gt;=700, "B", IF(C913&gt;=600, "C", IF(C913&gt;=500, "D", "F"))))))</f>
        <v/>
      </c>
    </row>
    <row r="914">
      <c r="B914" t="str">
        <f>IF(C914="", "", IF(C914&gt;=900, "S", IF(C914&gt;=800, "A", IF(C914&gt;=700, "B", IF(C914&gt;=600, "C", IF(C914&gt;=500, "D", "F"))))))</f>
        <v/>
      </c>
    </row>
    <row r="915">
      <c r="B915" t="str">
        <f>IF(C915="", "", IF(C915&gt;=900, "S", IF(C915&gt;=800, "A", IF(C915&gt;=700, "B", IF(C915&gt;=600, "C", IF(C915&gt;=500, "D", "F"))))))</f>
        <v/>
      </c>
    </row>
    <row r="916">
      <c r="B916" t="str">
        <f>IF(C916="", "", IF(C916&gt;=900, "S", IF(C916&gt;=800, "A", IF(C916&gt;=700, "B", IF(C916&gt;=600, "C", IF(C916&gt;=500, "D", "F"))))))</f>
        <v/>
      </c>
    </row>
    <row r="917">
      <c r="B917" t="str">
        <f>IF(C917="", "", IF(C917&gt;=900, "S", IF(C917&gt;=800, "A", IF(C917&gt;=700, "B", IF(C917&gt;=600, "C", IF(C917&gt;=500, "D", "F"))))))</f>
        <v/>
      </c>
    </row>
    <row r="918">
      <c r="B918" t="str">
        <f>IF(C918="", "", IF(C918&gt;=900, "S", IF(C918&gt;=800, "A", IF(C918&gt;=700, "B", IF(C918&gt;=600, "C", IF(C918&gt;=500, "D", "F"))))))</f>
        <v/>
      </c>
    </row>
    <row r="919">
      <c r="B919" t="str">
        <f>IF(C919="", "", IF(C919&gt;=900, "S", IF(C919&gt;=800, "A", IF(C919&gt;=700, "B", IF(C919&gt;=600, "C", IF(C919&gt;=500, "D", "F"))))))</f>
        <v/>
      </c>
    </row>
    <row r="920">
      <c r="B920" t="str">
        <f>IF(C920="", "", IF(C920&gt;=900, "S", IF(C920&gt;=800, "A", IF(C920&gt;=700, "B", IF(C920&gt;=600, "C", IF(C920&gt;=500, "D", "F"))))))</f>
        <v/>
      </c>
    </row>
    <row r="921">
      <c r="B921" t="str">
        <f>IF(C921="", "", IF(C921&gt;=900, "S", IF(C921&gt;=800, "A", IF(C921&gt;=700, "B", IF(C921&gt;=600, "C", IF(C921&gt;=500, "D", "F"))))))</f>
        <v/>
      </c>
    </row>
    <row r="922">
      <c r="B922" t="str">
        <f>IF(C922="", "", IF(C922&gt;=900, "S", IF(C922&gt;=800, "A", IF(C922&gt;=700, "B", IF(C922&gt;=600, "C", IF(C922&gt;=500, "D", "F"))))))</f>
        <v/>
      </c>
    </row>
    <row r="923">
      <c r="B923" t="str">
        <f>IF(C923="", "", IF(C923&gt;=900, "S", IF(C923&gt;=800, "A", IF(C923&gt;=700, "B", IF(C923&gt;=600, "C", IF(C923&gt;=500, "D", "F"))))))</f>
        <v/>
      </c>
    </row>
    <row r="924">
      <c r="B924" t="str">
        <f>IF(C924="", "", IF(C924&gt;=900, "S", IF(C924&gt;=800, "A", IF(C924&gt;=700, "B", IF(C924&gt;=600, "C", IF(C924&gt;=500, "D", "F"))))))</f>
        <v/>
      </c>
    </row>
    <row r="925">
      <c r="B925" t="str">
        <f>IF(C925="", "", IF(C925&gt;=900, "S", IF(C925&gt;=800, "A", IF(C925&gt;=700, "B", IF(C925&gt;=600, "C", IF(C925&gt;=500, "D", "F"))))))</f>
        <v/>
      </c>
    </row>
    <row r="926">
      <c r="B926" t="str">
        <f>IF(C926="", "", IF(C926&gt;=900, "S", IF(C926&gt;=800, "A", IF(C926&gt;=700, "B", IF(C926&gt;=600, "C", IF(C926&gt;=500, "D", "F"))))))</f>
        <v/>
      </c>
    </row>
    <row r="927">
      <c r="B927" t="str">
        <f>IF(C927="", "", IF(C927&gt;=900, "S", IF(C927&gt;=800, "A", IF(C927&gt;=700, "B", IF(C927&gt;=600, "C", IF(C927&gt;=500, "D", "F"))))))</f>
        <v/>
      </c>
    </row>
    <row r="928">
      <c r="B928" t="str">
        <f>IF(C928="", "", IF(C928&gt;=900, "S", IF(C928&gt;=800, "A", IF(C928&gt;=700, "B", IF(C928&gt;=600, "C", IF(C928&gt;=500, "D", "F"))))))</f>
        <v/>
      </c>
    </row>
    <row r="929">
      <c r="B929" t="str">
        <f>IF(C929="", "", IF(C929&gt;=900, "S", IF(C929&gt;=800, "A", IF(C929&gt;=700, "B", IF(C929&gt;=600, "C", IF(C929&gt;=500, "D", "F"))))))</f>
        <v/>
      </c>
    </row>
    <row r="930">
      <c r="B930" t="str">
        <f>IF(C930="", "", IF(C930&gt;=900, "S", IF(C930&gt;=800, "A", IF(C930&gt;=700, "B", IF(C930&gt;=600, "C", IF(C930&gt;=500, "D", "F"))))))</f>
        <v/>
      </c>
    </row>
    <row r="931">
      <c r="B931" t="str">
        <f>IF(C931="", "", IF(C931&gt;=900, "S", IF(C931&gt;=800, "A", IF(C931&gt;=700, "B", IF(C931&gt;=600, "C", IF(C931&gt;=500, "D", "F"))))))</f>
        <v/>
      </c>
    </row>
    <row r="932">
      <c r="B932" t="str">
        <f>IF(C932="", "", IF(C932&gt;=900, "S", IF(C932&gt;=800, "A", IF(C932&gt;=700, "B", IF(C932&gt;=600, "C", IF(C932&gt;=500, "D", "F"))))))</f>
        <v/>
      </c>
    </row>
    <row r="933">
      <c r="B933" t="str">
        <f>IF(C933="", "", IF(C933&gt;=900, "S", IF(C933&gt;=800, "A", IF(C933&gt;=700, "B", IF(C933&gt;=600, "C", IF(C933&gt;=500, "D", "F"))))))</f>
        <v/>
      </c>
    </row>
    <row r="934">
      <c r="B934" t="str">
        <f>IF(C934="", "", IF(C934&gt;=900, "S", IF(C934&gt;=800, "A", IF(C934&gt;=700, "B", IF(C934&gt;=600, "C", IF(C934&gt;=500, "D", "F"))))))</f>
        <v/>
      </c>
    </row>
    <row r="935">
      <c r="B935" t="str">
        <f>IF(C935="", "", IF(C935&gt;=900, "S", IF(C935&gt;=800, "A", IF(C935&gt;=700, "B", IF(C935&gt;=600, "C", IF(C935&gt;=500, "D", "F"))))))</f>
        <v/>
      </c>
    </row>
    <row r="936">
      <c r="B936" t="str">
        <f>IF(C936="", "", IF(C936&gt;=900, "S", IF(C936&gt;=800, "A", IF(C936&gt;=700, "B", IF(C936&gt;=600, "C", IF(C936&gt;=500, "D", "F"))))))</f>
        <v/>
      </c>
    </row>
    <row r="937">
      <c r="B937" t="str">
        <f>IF(C937="", "", IF(C937&gt;=900, "S", IF(C937&gt;=800, "A", IF(C937&gt;=700, "B", IF(C937&gt;=600, "C", IF(C937&gt;=500, "D", "F"))))))</f>
        <v/>
      </c>
    </row>
    <row r="938">
      <c r="B938" t="str">
        <f>IF(C938="", "", IF(C938&gt;=900, "S", IF(C938&gt;=800, "A", IF(C938&gt;=700, "B", IF(C938&gt;=600, "C", IF(C938&gt;=500, "D", "F"))))))</f>
        <v/>
      </c>
    </row>
    <row r="939">
      <c r="B939" t="str">
        <f>IF(C939="", "", IF(C939&gt;=900, "S", IF(C939&gt;=800, "A", IF(C939&gt;=700, "B", IF(C939&gt;=600, "C", IF(C939&gt;=500, "D", "F"))))))</f>
        <v/>
      </c>
    </row>
    <row r="940">
      <c r="B940" t="str">
        <f>IF(C940="", "", IF(C940&gt;=900, "S", IF(C940&gt;=800, "A", IF(C940&gt;=700, "B", IF(C940&gt;=600, "C", IF(C940&gt;=500, "D", "F"))))))</f>
        <v/>
      </c>
    </row>
    <row r="941">
      <c r="B941" t="str">
        <f>IF(C941="", "", IF(C941&gt;=900, "S", IF(C941&gt;=800, "A", IF(C941&gt;=700, "B", IF(C941&gt;=600, "C", IF(C941&gt;=500, "D", "F"))))))</f>
        <v/>
      </c>
    </row>
    <row r="942">
      <c r="B942" t="str">
        <f>IF(C942="", "", IF(C942&gt;=900, "S", IF(C942&gt;=800, "A", IF(C942&gt;=700, "B", IF(C942&gt;=600, "C", IF(C942&gt;=500, "D", "F"))))))</f>
        <v/>
      </c>
    </row>
    <row r="943">
      <c r="B943" t="str">
        <f>IF(C943="", "", IF(C943&gt;=900, "S", IF(C943&gt;=800, "A", IF(C943&gt;=700, "B", IF(C943&gt;=600, "C", IF(C943&gt;=500, "D", "F"))))))</f>
        <v/>
      </c>
    </row>
    <row r="944">
      <c r="B944" t="str">
        <f>IF(C944="", "", IF(C944&gt;=900, "S", IF(C944&gt;=800, "A", IF(C944&gt;=700, "B", IF(C944&gt;=600, "C", IF(C944&gt;=500, "D", "F"))))))</f>
        <v/>
      </c>
    </row>
    <row r="945">
      <c r="B945" t="str">
        <f>IF(C945="", "", IF(C945&gt;=900, "S", IF(C945&gt;=800, "A", IF(C945&gt;=700, "B", IF(C945&gt;=600, "C", IF(C945&gt;=500, "D", "F"))))))</f>
        <v/>
      </c>
    </row>
    <row r="946">
      <c r="B946" t="str">
        <f>IF(C946="", "", IF(C946&gt;=900, "S", IF(C946&gt;=800, "A", IF(C946&gt;=700, "B", IF(C946&gt;=600, "C", IF(C946&gt;=500, "D", "F"))))))</f>
        <v/>
      </c>
    </row>
    <row r="947">
      <c r="B947" t="str">
        <f>IF(C947="", "", IF(C947&gt;=900, "S", IF(C947&gt;=800, "A", IF(C947&gt;=700, "B", IF(C947&gt;=600, "C", IF(C947&gt;=500, "D", "F"))))))</f>
        <v/>
      </c>
    </row>
    <row r="948">
      <c r="B948" t="str">
        <f>IF(C948="", "", IF(C948&gt;=900, "S", IF(C948&gt;=800, "A", IF(C948&gt;=700, "B", IF(C948&gt;=600, "C", IF(C948&gt;=500, "D", "F"))))))</f>
        <v/>
      </c>
    </row>
    <row r="949">
      <c r="B949" t="str">
        <f>IF(C949="", "", IF(C949&gt;=900, "S", IF(C949&gt;=800, "A", IF(C949&gt;=700, "B", IF(C949&gt;=600, "C", IF(C949&gt;=500, "D", "F"))))))</f>
        <v/>
      </c>
    </row>
    <row r="950">
      <c r="B950" t="str">
        <f>IF(C950="", "", IF(C950&gt;=900, "S", IF(C950&gt;=800, "A", IF(C950&gt;=700, "B", IF(C950&gt;=600, "C", IF(C950&gt;=500, "D", "F"))))))</f>
        <v/>
      </c>
    </row>
    <row r="951">
      <c r="B951" t="str">
        <f>IF(C951="", "", IF(C951&gt;=900, "S", IF(C951&gt;=800, "A", IF(C951&gt;=700, "B", IF(C951&gt;=600, "C", IF(C951&gt;=500, "D", "F"))))))</f>
        <v/>
      </c>
    </row>
    <row r="952">
      <c r="B952" t="str">
        <f>IF(C952="", "", IF(C952&gt;=900, "S", IF(C952&gt;=800, "A", IF(C952&gt;=700, "B", IF(C952&gt;=600, "C", IF(C952&gt;=500, "D", "F"))))))</f>
        <v/>
      </c>
    </row>
    <row r="953">
      <c r="B953" t="str">
        <f>IF(C953="", "", IF(C953&gt;=900, "S", IF(C953&gt;=800, "A", IF(C953&gt;=700, "B", IF(C953&gt;=600, "C", IF(C953&gt;=500, "D", "F"))))))</f>
        <v/>
      </c>
    </row>
    <row r="954">
      <c r="B954" t="str">
        <f>IF(C954="", "", IF(C954&gt;=900, "S", IF(C954&gt;=800, "A", IF(C954&gt;=700, "B", IF(C954&gt;=600, "C", IF(C954&gt;=500, "D", "F"))))))</f>
        <v/>
      </c>
    </row>
    <row r="955">
      <c r="B955" t="str">
        <f>IF(C955="", "", IF(C955&gt;=900, "S", IF(C955&gt;=800, "A", IF(C955&gt;=700, "B", IF(C955&gt;=600, "C", IF(C955&gt;=500, "D", "F"))))))</f>
        <v/>
      </c>
    </row>
    <row r="956">
      <c r="B956" t="str">
        <f>IF(C956="", "", IF(C956&gt;=900, "S", IF(C956&gt;=800, "A", IF(C956&gt;=700, "B", IF(C956&gt;=600, "C", IF(C956&gt;=500, "D", "F"))))))</f>
        <v/>
      </c>
    </row>
    <row r="957">
      <c r="B957" t="str">
        <f>IF(C957="", "", IF(C957&gt;=900, "S", IF(C957&gt;=800, "A", IF(C957&gt;=700, "B", IF(C957&gt;=600, "C", IF(C957&gt;=500, "D", "F"))))))</f>
        <v/>
      </c>
    </row>
    <row r="958">
      <c r="B958" t="str">
        <f>IF(C958="", "", IF(C958&gt;=900, "S", IF(C958&gt;=800, "A", IF(C958&gt;=700, "B", IF(C958&gt;=600, "C", IF(C958&gt;=500, "D", "F"))))))</f>
        <v/>
      </c>
    </row>
    <row r="959">
      <c r="B959" t="str">
        <f>IF(C959="", "", IF(C959&gt;=900, "S", IF(C959&gt;=800, "A", IF(C959&gt;=700, "B", IF(C959&gt;=600, "C", IF(C959&gt;=500, "D", "F"))))))</f>
        <v/>
      </c>
    </row>
    <row r="960">
      <c r="B960" t="str">
        <f>IF(C960="", "", IF(C960&gt;=900, "S", IF(C960&gt;=800, "A", IF(C960&gt;=700, "B", IF(C960&gt;=600, "C", IF(C960&gt;=500, "D", "F"))))))</f>
        <v/>
      </c>
    </row>
    <row r="961">
      <c r="B961" t="str">
        <f>IF(C961="", "", IF(C961&gt;=900, "S", IF(C961&gt;=800, "A", IF(C961&gt;=700, "B", IF(C961&gt;=600, "C", IF(C961&gt;=500, "D", "F"))))))</f>
        <v/>
      </c>
    </row>
    <row r="962">
      <c r="B962" t="str">
        <f>IF(C962="", "", IF(C962&gt;=900, "S", IF(C962&gt;=800, "A", IF(C962&gt;=700, "B", IF(C962&gt;=600, "C", IF(C962&gt;=500, "D", "F"))))))</f>
        <v/>
      </c>
    </row>
    <row r="963">
      <c r="B963" t="str">
        <f>IF(C963="", "", IF(C963&gt;=900, "S", IF(C963&gt;=800, "A", IF(C963&gt;=700, "B", IF(C963&gt;=600, "C", IF(C963&gt;=500, "D", "F"))))))</f>
        <v/>
      </c>
    </row>
    <row r="964">
      <c r="B964" t="str">
        <f>IF(C964="", "", IF(C964&gt;=900, "S", IF(C964&gt;=800, "A", IF(C964&gt;=700, "B", IF(C964&gt;=600, "C", IF(C964&gt;=500, "D", "F"))))))</f>
        <v/>
      </c>
    </row>
    <row r="965">
      <c r="B965" t="str">
        <f>IF(C965="", "", IF(C965&gt;=900, "S", IF(C965&gt;=800, "A", IF(C965&gt;=700, "B", IF(C965&gt;=600, "C", IF(C965&gt;=500, "D", "F"))))))</f>
        <v/>
      </c>
    </row>
    <row r="966">
      <c r="B966" t="str">
        <f>IF(C966="", "", IF(C966&gt;=900, "S", IF(C966&gt;=800, "A", IF(C966&gt;=700, "B", IF(C966&gt;=600, "C", IF(C966&gt;=500, "D", "F"))))))</f>
        <v/>
      </c>
    </row>
    <row r="967">
      <c r="B967" t="str">
        <f>IF(C967="", "", IF(C967&gt;=900, "S", IF(C967&gt;=800, "A", IF(C967&gt;=700, "B", IF(C967&gt;=600, "C", IF(C967&gt;=500, "D", "F"))))))</f>
        <v/>
      </c>
    </row>
    <row r="968">
      <c r="B968" t="str">
        <f>IF(C968="", "", IF(C968&gt;=900, "S", IF(C968&gt;=800, "A", IF(C968&gt;=700, "B", IF(C968&gt;=600, "C", IF(C968&gt;=500, "D", "F"))))))</f>
        <v/>
      </c>
    </row>
    <row r="969">
      <c r="B969" t="str">
        <f>IF(C969="", "", IF(C969&gt;=900, "S", IF(C969&gt;=800, "A", IF(C969&gt;=700, "B", IF(C969&gt;=600, "C", IF(C969&gt;=500, "D", "F"))))))</f>
        <v/>
      </c>
    </row>
    <row r="970">
      <c r="B970" t="str">
        <f>IF(C970="", "", IF(C970&gt;=900, "S", IF(C970&gt;=800, "A", IF(C970&gt;=700, "B", IF(C970&gt;=600, "C", IF(C970&gt;=500, "D", "F"))))))</f>
        <v/>
      </c>
    </row>
    <row r="971">
      <c r="B971" t="str">
        <f>IF(C971="", "", IF(C971&gt;=900, "S", IF(C971&gt;=800, "A", IF(C971&gt;=700, "B", IF(C971&gt;=600, "C", IF(C971&gt;=500, "D", "F"))))))</f>
        <v/>
      </c>
    </row>
    <row r="972">
      <c r="B972" t="str">
        <f>IF(C972="", "", IF(C972&gt;=900, "S", IF(C972&gt;=800, "A", IF(C972&gt;=700, "B", IF(C972&gt;=600, "C", IF(C972&gt;=500, "D", "F"))))))</f>
        <v/>
      </c>
    </row>
    <row r="973">
      <c r="B973" t="str">
        <f>IF(C973="", "", IF(C973&gt;=900, "S", IF(C973&gt;=800, "A", IF(C973&gt;=700, "B", IF(C973&gt;=600, "C", IF(C973&gt;=500, "D", "F"))))))</f>
        <v/>
      </c>
    </row>
    <row r="974">
      <c r="B974" t="str">
        <f>IF(C974="", "", IF(C974&gt;=900, "S", IF(C974&gt;=800, "A", IF(C974&gt;=700, "B", IF(C974&gt;=600, "C", IF(C974&gt;=500, "D", "F"))))))</f>
        <v/>
      </c>
    </row>
    <row r="975">
      <c r="B975" t="str">
        <f>IF(C975="", "", IF(C975&gt;=900, "S", IF(C975&gt;=800, "A", IF(C975&gt;=700, "B", IF(C975&gt;=600, "C", IF(C975&gt;=500, "D", "F"))))))</f>
        <v/>
      </c>
    </row>
    <row r="976">
      <c r="B976" t="str">
        <f>IF(C976="", "", IF(C976&gt;=900, "S", IF(C976&gt;=800, "A", IF(C976&gt;=700, "B", IF(C976&gt;=600, "C", IF(C976&gt;=500, "D", "F"))))))</f>
        <v/>
      </c>
    </row>
    <row r="977">
      <c r="B977" t="str">
        <f>IF(C977="", "", IF(C977&gt;=900, "S", IF(C977&gt;=800, "A", IF(C977&gt;=700, "B", IF(C977&gt;=600, "C", IF(C977&gt;=500, "D", "F"))))))</f>
        <v/>
      </c>
    </row>
    <row r="978">
      <c r="B978" t="str">
        <f>IF(C978="", "", IF(C978&gt;=900, "S", IF(C978&gt;=800, "A", IF(C978&gt;=700, "B", IF(C978&gt;=600, "C", IF(C978&gt;=500, "D", "F"))))))</f>
        <v/>
      </c>
    </row>
    <row r="979">
      <c r="B979" t="str">
        <f>IF(C979="", "", IF(C979&gt;=900, "S", IF(C979&gt;=800, "A", IF(C979&gt;=700, "B", IF(C979&gt;=600, "C", IF(C979&gt;=500, "D", "F"))))))</f>
        <v/>
      </c>
    </row>
    <row r="980">
      <c r="B980" t="str">
        <f>IF(C980="", "", IF(C980&gt;=900, "S", IF(C980&gt;=800, "A", IF(C980&gt;=700, "B", IF(C980&gt;=600, "C", IF(C980&gt;=500, "D", "F"))))))</f>
        <v/>
      </c>
    </row>
    <row r="981">
      <c r="B981" t="str">
        <f>IF(C981="", "", IF(C981&gt;=900, "S", IF(C981&gt;=800, "A", IF(C981&gt;=700, "B", IF(C981&gt;=600, "C", IF(C981&gt;=500, "D", "F"))))))</f>
        <v/>
      </c>
    </row>
    <row r="982">
      <c r="B982" t="str">
        <f>IF(C982="", "", IF(C982&gt;=900, "S", IF(C982&gt;=800, "A", IF(C982&gt;=700, "B", IF(C982&gt;=600, "C", IF(C982&gt;=500, "D", "F"))))))</f>
        <v/>
      </c>
    </row>
    <row r="983">
      <c r="B983" t="str">
        <f>IF(C983="", "", IF(C983&gt;=900, "S", IF(C983&gt;=800, "A", IF(C983&gt;=700, "B", IF(C983&gt;=600, "C", IF(C983&gt;=500, "D", "F"))))))</f>
        <v/>
      </c>
    </row>
    <row r="984">
      <c r="B984" t="str">
        <f>IF(C984="", "", IF(C984&gt;=900, "S", IF(C984&gt;=800, "A", IF(C984&gt;=700, "B", IF(C984&gt;=600, "C", IF(C984&gt;=500, "D", "F"))))))</f>
        <v/>
      </c>
    </row>
    <row r="985">
      <c r="B985" t="str">
        <f>IF(C985="", "", IF(C985&gt;=900, "S", IF(C985&gt;=800, "A", IF(C985&gt;=700, "B", IF(C985&gt;=600, "C", IF(C985&gt;=500, "D", "F"))))))</f>
        <v/>
      </c>
    </row>
    <row r="986">
      <c r="B986" t="str">
        <f>IF(C986="", "", IF(C986&gt;=900, "S", IF(C986&gt;=800, "A", IF(C986&gt;=700, "B", IF(C986&gt;=600, "C", IF(C986&gt;=500, "D", "F"))))))</f>
        <v/>
      </c>
    </row>
    <row r="987">
      <c r="B987" t="str">
        <f>IF(C987="", "", IF(C987&gt;=900, "S", IF(C987&gt;=800, "A", IF(C987&gt;=700, "B", IF(C987&gt;=600, "C", IF(C987&gt;=500, "D", "F"))))))</f>
        <v/>
      </c>
    </row>
    <row r="988">
      <c r="B988" t="str">
        <f>IF(C988="", "", IF(C988&gt;=900, "S", IF(C988&gt;=800, "A", IF(C988&gt;=700, "B", IF(C988&gt;=600, "C", IF(C988&gt;=500, "D", "F"))))))</f>
        <v/>
      </c>
    </row>
    <row r="989">
      <c r="B989" t="str">
        <f>IF(C989="", "", IF(C989&gt;=900, "S", IF(C989&gt;=800, "A", IF(C989&gt;=700, "B", IF(C989&gt;=600, "C", IF(C989&gt;=500, "D", "F"))))))</f>
        <v/>
      </c>
    </row>
    <row r="990">
      <c r="B990" t="str">
        <f>IF(C990="", "", IF(C990&gt;=900, "S", IF(C990&gt;=800, "A", IF(C990&gt;=700, "B", IF(C990&gt;=600, "C", IF(C990&gt;=500, "D", "F"))))))</f>
        <v/>
      </c>
    </row>
    <row r="991">
      <c r="B991" t="str">
        <f>IF(C991="", "", IF(C991&gt;=900, "S", IF(C991&gt;=800, "A", IF(C991&gt;=700, "B", IF(C991&gt;=600, "C", IF(C991&gt;=500, "D", "F"))))))</f>
        <v/>
      </c>
    </row>
    <row r="992">
      <c r="B992" t="str">
        <f>IF(C992="", "", IF(C992&gt;=900, "S", IF(C992&gt;=800, "A", IF(C992&gt;=700, "B", IF(C992&gt;=600, "C", IF(C992&gt;=500, "D", "F"))))))</f>
        <v/>
      </c>
    </row>
    <row r="993">
      <c r="B993" t="str">
        <f>IF(C993="", "", IF(C993&gt;=900, "S", IF(C993&gt;=800, "A", IF(C993&gt;=700, "B", IF(C993&gt;=600, "C", IF(C993&gt;=500, "D", "F"))))))</f>
        <v/>
      </c>
    </row>
    <row r="994">
      <c r="B994" t="str">
        <f>IF(C994="", "", IF(C994&gt;=900, "S", IF(C994&gt;=800, "A", IF(C994&gt;=700, "B", IF(C994&gt;=600, "C", IF(C994&gt;=500, "D", "F"))))))</f>
        <v/>
      </c>
    </row>
    <row r="995">
      <c r="B995" t="str">
        <f>IF(C995="", "", IF(C995&gt;=900, "S", IF(C995&gt;=800, "A", IF(C995&gt;=700, "B", IF(C995&gt;=600, "C", IF(C995&gt;=500, "D", "F"))))))</f>
        <v/>
      </c>
    </row>
    <row r="996">
      <c r="B996" t="str">
        <f>IF(C996="", "", IF(C996&gt;=900, "S", IF(C996&gt;=800, "A", IF(C996&gt;=700, "B", IF(C996&gt;=600, "C", IF(C996&gt;=500, "D", "F"))))))</f>
        <v/>
      </c>
    </row>
    <row r="997">
      <c r="B997" t="str">
        <f>IF(C997="", "", IF(C997&gt;=900, "S", IF(C997&gt;=800, "A", IF(C997&gt;=700, "B", IF(C997&gt;=600, "C", IF(C997&gt;=500, "D", "F"))))))</f>
        <v/>
      </c>
    </row>
    <row r="998">
      <c r="B998" t="str">
        <f>IF(C998="", "", IF(C998&gt;=900, "S", IF(C998&gt;=800, "A", IF(C998&gt;=700, "B", IF(C998&gt;=600, "C", IF(C998&gt;=500, "D", "F"))))))</f>
        <v/>
      </c>
    </row>
    <row r="999">
      <c r="B999" t="str">
        <f>IF(C999="", "", IF(C999&gt;=900, "S", IF(C999&gt;=800, "A", IF(C999&gt;=700, "B", IF(C999&gt;=600, "C", IF(C999&gt;=500, "D", "F"))))))</f>
        <v/>
      </c>
    </row>
    <row r="1000">
      <c r="B1000" t="str">
        <f>IF(C1000="", "", IF(C1000&gt;=900, "S", IF(C1000&gt;=800, "A", IF(C1000&gt;=700, "B", IF(C1000&gt;=600, "C", IF(C1000&gt;=500, "D", "F"))))))</f>
        <v/>
      </c>
    </row>
  </sheetData>
  <autoFilter ref="$B$1:$B$1000"/>
  <ignoredErrors>
    <ignoredError numberStoredAsText="1" sqref="A1:G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9"/>
  <sheetViews>
    <sheetView workbookViewId="0" rightToLeft="0"/>
  </sheetViews>
  <sheetData>
    <row r="1">
      <c r="A1" t="str">
        <v>ModName</v>
      </c>
      <c r="B1" t="str">
        <v>Title</v>
      </c>
      <c r="C1" t="str">
        <v>Rarity</v>
      </c>
      <c r="D1" t="str">
        <v>Amount</v>
      </c>
      <c r="E1" t="str">
        <v>Chance</v>
      </c>
      <c r="F1" t="str">
        <v>Stat</v>
      </c>
      <c r="G1" t="str">
        <v>Effect</v>
      </c>
      <c r="H1" t="str">
        <v>AttackEffectDamage</v>
      </c>
      <c r="I1" t="str">
        <v>AttackEffectCount</v>
      </c>
      <c r="J1" t="str">
        <v>AttackEffectRate</v>
      </c>
      <c r="K1" t="str">
        <v>AttackEffectDamagePercent</v>
      </c>
      <c r="L1" t="str">
        <v>AttackEffectCooldownPercent</v>
      </c>
      <c r="M1" t="str">
        <v>AttackEffectLifesteal</v>
      </c>
      <c r="N1" t="str">
        <v>AttackEffectSlowPercent</v>
      </c>
      <c r="O1" t="str">
        <v>AttackEffectSlowAttackPercent</v>
      </c>
      <c r="P1" t="str">
        <v>AttackEffectTime</v>
      </c>
      <c r="Q1" t="str">
        <v>AttackEffectType</v>
      </c>
      <c r="R1" t="str">
        <v>AttackEffectKey</v>
      </c>
      <c r="S1" t="str">
        <v>DefenseMirrorPercent</v>
      </c>
      <c r="T1" t="str">
        <v>Desc</v>
      </c>
    </row>
    <row r="2">
      <c r="A2" t="str">
        <v>Default</v>
      </c>
      <c r="B2" t="str">
        <v>Default</v>
      </c>
      <c r="C2" t="str">
        <v>Common</v>
      </c>
      <c r="D2">
        <v>0</v>
      </c>
      <c r="E2">
        <v>0.76</v>
      </c>
      <c r="G2" t="str">
        <v>Default unit properties</v>
      </c>
    </row>
    <row r="3">
      <c r="A3" t="str">
        <v>SmallDamage</v>
      </c>
      <c r="B3" t="str">
        <v>Strong</v>
      </c>
      <c r="C3" t="str">
        <v>Common</v>
      </c>
      <c r="D3">
        <v>0.1</v>
      </c>
      <c r="E3">
        <v>0.04</v>
      </c>
      <c r="F3" t="str">
        <v>Damage</v>
      </c>
      <c r="G3" t="str">
        <v>Increase Damage by 10%</v>
      </c>
    </row>
    <row r="4">
      <c r="A4" t="str">
        <v>SmallHP</v>
      </c>
      <c r="B4" t="str">
        <v>Life</v>
      </c>
      <c r="C4" t="str">
        <v>Common</v>
      </c>
      <c r="D4">
        <v>0.1</v>
      </c>
      <c r="E4">
        <v>0.04</v>
      </c>
      <c r="F4" t="str">
        <v>HP</v>
      </c>
      <c r="G4" t="str">
        <v>Increase HP by 10%</v>
      </c>
    </row>
    <row r="5">
      <c r="A5" t="str">
        <v>SmallCooldown</v>
      </c>
      <c r="B5" t="str">
        <v>Fast</v>
      </c>
      <c r="C5" t="str">
        <v>Common</v>
      </c>
      <c r="D5">
        <v>-0.1</v>
      </c>
      <c r="E5">
        <v>0.04</v>
      </c>
      <c r="F5" t="str">
        <v>Cooldown</v>
      </c>
      <c r="G5" t="str">
        <v>Increase Cooldown by -10%</v>
      </c>
    </row>
    <row r="6">
      <c r="A6" t="str">
        <v>SmallFrost</v>
      </c>
      <c r="B6" t="str">
        <v>Frost</v>
      </c>
      <c r="C6" t="str">
        <v>Uncommon</v>
      </c>
      <c r="E6">
        <v>0.01</v>
      </c>
      <c r="F6" t="str">
        <v>Frost</v>
      </c>
      <c r="G6" t="str">
        <v>Slows movement by 30% and slows attack speed by 25% for 2s</v>
      </c>
    </row>
    <row r="7">
      <c r="A7" t="str">
        <v>SmallPoison</v>
      </c>
      <c r="B7" t="str">
        <v>Toxic</v>
      </c>
      <c r="C7" t="str">
        <v>Uncommon</v>
      </c>
      <c r="E7">
        <v>0.01</v>
      </c>
      <c r="F7" t="str">
        <v>Poison</v>
      </c>
      <c r="G7" t="str">
        <v>Periodic damage 2 HP every 0.3s 8 times</v>
      </c>
    </row>
    <row r="8">
      <c r="A8" t="str">
        <v>SmallFire</v>
      </c>
      <c r="B8" t="str">
        <v>Fire</v>
      </c>
      <c r="C8" t="str">
        <v>Uncommon</v>
      </c>
      <c r="E8">
        <v>0.01</v>
      </c>
      <c r="F8" t="str">
        <v>Fire</v>
      </c>
      <c r="G8" t="str">
        <v>Periodic damage 5 HP every 0.8s 3 times</v>
      </c>
    </row>
    <row r="9">
      <c r="A9" t="str">
        <v>MediumHP</v>
      </c>
      <c r="B9" t="str">
        <v>Big</v>
      </c>
      <c r="C9" t="str">
        <v>Rare</v>
      </c>
      <c r="D9">
        <v>0.25</v>
      </c>
      <c r="E9">
        <v>0.01</v>
      </c>
      <c r="F9" t="str">
        <v>HP</v>
      </c>
      <c r="G9" t="str">
        <v>Increase HP by 25%</v>
      </c>
    </row>
    <row r="10">
      <c r="A10" t="str">
        <v>MediumMirror</v>
      </c>
      <c r="B10" t="str">
        <v>Hedgehog</v>
      </c>
      <c r="C10" t="str">
        <v>Rare</v>
      </c>
      <c r="D10">
        <v>0.15</v>
      </c>
      <c r="E10">
        <v>0.01</v>
      </c>
      <c r="F10" t="str">
        <v>Mirror</v>
      </c>
      <c r="G10" t="str">
        <v>Return 15% damage to attacker</v>
      </c>
    </row>
    <row r="11">
      <c r="A11" t="str">
        <v>MediumAccuracy</v>
      </c>
      <c r="B11" t="str">
        <v>Exact</v>
      </c>
      <c r="C11" t="str">
        <v>Rare</v>
      </c>
      <c r="D11">
        <v>0.15</v>
      </c>
      <c r="E11">
        <v>0.01</v>
      </c>
      <c r="F11" t="str">
        <v>Accuracy</v>
      </c>
      <c r="G11" t="str">
        <v>Increase Accuracy by 15%</v>
      </c>
    </row>
    <row r="12">
      <c r="A12" t="str">
        <v>MediumCooldown</v>
      </c>
      <c r="B12" t="str">
        <v>Trickster</v>
      </c>
      <c r="C12" t="str">
        <v>Rare</v>
      </c>
      <c r="D12">
        <v>-0.2</v>
      </c>
      <c r="E12">
        <v>0.01</v>
      </c>
      <c r="F12" t="str">
        <v>Cooldown</v>
      </c>
      <c r="G12" t="str">
        <v>Increase Cooldown by -20%</v>
      </c>
    </row>
    <row r="13">
      <c r="A13" t="str">
        <v>MediumDamage</v>
      </c>
      <c r="B13" t="str">
        <v>Bodybuilder</v>
      </c>
      <c r="C13" t="str">
        <v>Rare</v>
      </c>
      <c r="D13">
        <v>0.25</v>
      </c>
      <c r="E13">
        <v>0.01</v>
      </c>
      <c r="F13" t="str">
        <v>Damage</v>
      </c>
      <c r="G13" t="str">
        <v>Increase Damage by 25%</v>
      </c>
    </row>
    <row r="14">
      <c r="A14" t="str">
        <v>SmallLifesteal</v>
      </c>
      <c r="B14" t="str">
        <v>Leech</v>
      </c>
      <c r="C14" t="str">
        <v>Rare</v>
      </c>
      <c r="D14">
        <v>10</v>
      </c>
      <c r="E14">
        <v>0.01</v>
      </c>
      <c r="F14" t="str">
        <v>Lifesteal</v>
      </c>
      <c r="G14" t="str">
        <v>Heals by 10 HP for each attack</v>
      </c>
    </row>
    <row r="15">
      <c r="A15" t="str">
        <v>MediumFire</v>
      </c>
      <c r="B15" t="str">
        <v>Armageddon</v>
      </c>
      <c r="C15" t="str">
        <v>Legendary</v>
      </c>
      <c r="E15">
        <v>0.002</v>
      </c>
      <c r="F15" t="str">
        <v>Fire</v>
      </c>
      <c r="G15" t="str">
        <v>Periodic damage 10 HP every 0.5s 3 times</v>
      </c>
    </row>
    <row r="16">
      <c r="A16" t="str">
        <v>MediumCritDamageCoeff</v>
      </c>
      <c r="B16" t="str">
        <v>Critical</v>
      </c>
      <c r="C16" t="str">
        <v>Legendary</v>
      </c>
      <c r="D16">
        <v>0.25</v>
      </c>
      <c r="E16">
        <v>0.002</v>
      </c>
      <c r="F16" t="str">
        <v>CritDamageCoeff</v>
      </c>
      <c r="G16" t="str">
        <v>Increase Crit Damage Coeff by 25%</v>
      </c>
    </row>
    <row r="17">
      <c r="A17" t="str">
        <v>MediumPoison</v>
      </c>
      <c r="B17" t="str">
        <v>Viper</v>
      </c>
      <c r="C17" t="str">
        <v>Legendary</v>
      </c>
      <c r="E17">
        <v>0.002</v>
      </c>
      <c r="F17" t="str">
        <v>Poison</v>
      </c>
      <c r="G17" t="str">
        <v>Periodic damage 3 HP every 0.25s 10 times</v>
      </c>
    </row>
    <row r="18">
      <c r="A18" t="str">
        <v>MediumFrost</v>
      </c>
      <c r="B18" t="str">
        <v>Blizzard</v>
      </c>
      <c r="C18" t="str">
        <v>Legendary</v>
      </c>
      <c r="E18">
        <v>0.002</v>
      </c>
      <c r="F18" t="str">
        <v>Frost</v>
      </c>
      <c r="G18" t="str">
        <v>Slows movement by 50% and slows attack speed by 25% for 3s</v>
      </c>
    </row>
    <row r="19">
      <c r="A19" t="str">
        <v>MediumEvadeChance</v>
      </c>
      <c r="B19" t="str">
        <v>Dexterous</v>
      </c>
      <c r="C19" t="str">
        <v>Legendary</v>
      </c>
      <c r="D19">
        <v>0.2</v>
      </c>
      <c r="E19">
        <v>0.002</v>
      </c>
      <c r="F19" t="str">
        <v>EvadeChance</v>
      </c>
      <c r="G19" t="str">
        <v>Increase Evade Chance by 20%</v>
      </c>
    </row>
    <row r="20">
      <c r="A20" t="str">
        <v>MediumCritChance</v>
      </c>
      <c r="B20" t="str">
        <v>Accurate</v>
      </c>
      <c r="C20" t="str">
        <v>Legendary</v>
      </c>
      <c r="D20">
        <v>0.2</v>
      </c>
      <c r="E20">
        <v>0.002</v>
      </c>
      <c r="F20" t="str">
        <v>CritChance</v>
      </c>
      <c r="G20" t="str">
        <v>Increase Crit Chance by 20%</v>
      </c>
    </row>
    <row r="21">
      <c r="A21" t="str">
        <v>LargeDamage</v>
      </c>
      <c r="B21" t="str">
        <v>Powerful</v>
      </c>
      <c r="C21" t="str">
        <v>Mythic</v>
      </c>
      <c r="D21">
        <v>0.5</v>
      </c>
      <c r="E21">
        <v>0.001</v>
      </c>
      <c r="F21" t="str">
        <v>Damage</v>
      </c>
      <c r="G21" t="str">
        <v>Increase Damage by 50%</v>
      </c>
    </row>
    <row r="22">
      <c r="A22" t="str">
        <v>LargeCooldown</v>
      </c>
      <c r="B22" t="str">
        <v>Lightning</v>
      </c>
      <c r="C22" t="str">
        <v>Mythic</v>
      </c>
      <c r="D22">
        <v>-0.35</v>
      </c>
      <c r="E22">
        <v>0.001</v>
      </c>
      <c r="F22" t="str">
        <v>Cooldown</v>
      </c>
      <c r="G22" t="str">
        <v>Increase Cooldown by -35%</v>
      </c>
    </row>
    <row r="23">
      <c r="A23" t="str">
        <v>LargeHP</v>
      </c>
      <c r="B23" t="str">
        <v>Titan</v>
      </c>
      <c r="C23" t="str">
        <v>Mythic</v>
      </c>
      <c r="D23">
        <v>0.5</v>
      </c>
      <c r="E23">
        <v>0.001</v>
      </c>
      <c r="F23" t="str">
        <v>HP</v>
      </c>
      <c r="G23" t="str">
        <v>Increase HP by 50%</v>
      </c>
    </row>
    <row r="24">
      <c r="A24" t="str">
        <v>LargeAccuracy</v>
      </c>
      <c r="B24" t="str">
        <v>Sniper</v>
      </c>
      <c r="C24" t="str">
        <v>Mythic</v>
      </c>
      <c r="D24">
        <v>0.5</v>
      </c>
      <c r="E24">
        <v>0.001</v>
      </c>
      <c r="F24" t="str">
        <v>Accuracy</v>
      </c>
      <c r="G24" t="str">
        <v>Increase Accuracy by 50%</v>
      </c>
    </row>
    <row r="25">
      <c r="A25" t="str">
        <v>LargeMirror</v>
      </c>
      <c r="B25" t="str">
        <v>Mirror</v>
      </c>
      <c r="C25" t="str">
        <v>Mythic</v>
      </c>
      <c r="D25">
        <v>0.35</v>
      </c>
      <c r="E25">
        <v>0.001</v>
      </c>
      <c r="F25" t="str">
        <v>Mirror</v>
      </c>
      <c r="G25" t="str">
        <v>Return 35% damage to attacker</v>
      </c>
    </row>
    <row r="26">
      <c r="A26" t="str">
        <v>LargeCritChance</v>
      </c>
      <c r="B26" t="str">
        <v>Assassin</v>
      </c>
      <c r="C26" t="str">
        <v>Demonic</v>
      </c>
      <c r="D26">
        <v>0.35</v>
      </c>
      <c r="E26">
        <v>0.001</v>
      </c>
      <c r="F26" t="str">
        <v>CritChance</v>
      </c>
      <c r="G26" t="str">
        <v>Increase Crit Chance by 35%</v>
      </c>
    </row>
    <row r="27">
      <c r="A27" t="str">
        <v>LargeCritDamageCoeff</v>
      </c>
      <c r="B27" t="str">
        <v>Executor</v>
      </c>
      <c r="C27" t="str">
        <v>Demonic</v>
      </c>
      <c r="D27">
        <v>0.6</v>
      </c>
      <c r="E27">
        <v>0.001</v>
      </c>
      <c r="F27" t="str">
        <v>CritDamageCoeff</v>
      </c>
      <c r="G27" t="str">
        <v>Increase Crit Damage Coeff by 60%</v>
      </c>
    </row>
    <row r="28">
      <c r="A28" t="str">
        <v>LargeEvadeChance</v>
      </c>
      <c r="B28" t="str">
        <v>Joker</v>
      </c>
      <c r="C28" t="str">
        <v>Demonic</v>
      </c>
      <c r="D28">
        <v>0.35</v>
      </c>
      <c r="E28">
        <v>0.001</v>
      </c>
      <c r="F28" t="str">
        <v>EvadeChance</v>
      </c>
      <c r="G28" t="str">
        <v>Increase Evade Chance by 35%</v>
      </c>
    </row>
    <row r="29">
      <c r="A29" t="str">
        <v>MediumLifesteal</v>
      </c>
      <c r="B29" t="str">
        <v>Vampire</v>
      </c>
      <c r="C29" t="str">
        <v>Demonic</v>
      </c>
      <c r="D29">
        <v>25</v>
      </c>
      <c r="E29">
        <v>0.001</v>
      </c>
      <c r="F29" t="str">
        <v>Lifesteal</v>
      </c>
      <c r="G29" t="str">
        <v>Heals by 25 HP for each attack</v>
      </c>
    </row>
  </sheetData>
  <ignoredErrors>
    <ignoredError numberStoredAsText="1" sqref="A1:T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33"/>
  <sheetViews>
    <sheetView workbookViewId="0" rightToLeft="0"/>
  </sheetViews>
  <sheetData>
    <row r="1">
      <c r="A1" t="str">
        <v>Demonic leveling costs, F2P</v>
      </c>
      <c r="I1" t="str">
        <v>Demonic level costs, 2x upgrade chance GP</v>
      </c>
      <c r="Q1" t="str">
        <v>Demonic level costs, 2x upgrade chance GP + Hammer UGC</v>
      </c>
    </row>
    <row r="2">
      <c r="A2" t="str">
        <v>Level</v>
      </c>
      <c r="B2" t="str">
        <v>Percent</v>
      </c>
      <c r="C2" t="str">
        <v>Cost per Click</v>
      </c>
      <c r="D2" t="str">
        <v>Percent Check</v>
      </c>
      <c r="E2" t="str">
        <v>Lucky Cost (61%)</v>
      </c>
      <c r="F2" t="str">
        <v>Average Cost (71%)</v>
      </c>
      <c r="G2" t="str">
        <v>Unlucky Cost (85% chance)</v>
      </c>
      <c r="I2" t="str">
        <v>Level</v>
      </c>
      <c r="J2" t="str">
        <v>Percent</v>
      </c>
      <c r="K2" t="str">
        <v>Cost per Click</v>
      </c>
      <c r="L2" t="str">
        <v>Percent Check</v>
      </c>
      <c r="M2" t="str">
        <v>Lucky Cost (61%)</v>
      </c>
      <c r="N2" t="str">
        <v>Average Cost (71%)</v>
      </c>
      <c r="O2" t="str">
        <v>Unlucky Cost (85% chance)</v>
      </c>
      <c r="Q2" t="str">
        <v>level</v>
      </c>
      <c r="R2" t="str">
        <v>percent</v>
      </c>
      <c r="S2" t="str">
        <v>cost</v>
      </c>
      <c r="T2" t="str">
        <v>percent chance check</v>
      </c>
      <c r="U2" t="str">
        <v>total (61% chance)</v>
      </c>
      <c r="V2" t="str">
        <v>avg</v>
      </c>
      <c r="W2" t="str">
        <v>unlucky total  (85% chance)</v>
      </c>
    </row>
    <row r="3">
      <c r="A3">
        <v>1</v>
      </c>
      <c r="B3">
        <v>90</v>
      </c>
      <c r="C3">
        <v>15000</v>
      </c>
      <c r="D3">
        <f>1/B3*100</f>
        <v>1.111111111</v>
      </c>
      <c r="E3">
        <f>(1/B3*100)*C3</f>
        <v>16666.66667</v>
      </c>
      <c r="F3">
        <f>(E3+G3)/2</f>
        <v>25000</v>
      </c>
      <c r="G3">
        <f>E3*2</f>
        <v>33333.33333</v>
      </c>
      <c r="I3">
        <v>1</v>
      </c>
      <c r="J3">
        <v>100</v>
      </c>
      <c r="K3">
        <v>15000</v>
      </c>
      <c r="L3">
        <v>1</v>
      </c>
      <c r="M3">
        <v>15000</v>
      </c>
      <c r="N3">
        <v>22500</v>
      </c>
      <c r="O3">
        <v>30000</v>
      </c>
      <c r="Q3">
        <v>1</v>
      </c>
      <c r="R3">
        <v>100</v>
      </c>
      <c r="S3">
        <v>10499</v>
      </c>
      <c r="T3">
        <v>1</v>
      </c>
      <c r="U3">
        <v>10499</v>
      </c>
      <c r="V3">
        <v>15749</v>
      </c>
      <c r="W3">
        <v>20998</v>
      </c>
    </row>
    <row r="4">
      <c r="A4">
        <f>A3+1</f>
        <v>2</v>
      </c>
      <c r="B4">
        <v>80</v>
      </c>
      <c r="C4">
        <v>30000</v>
      </c>
      <c r="D4">
        <f>1/B4*100</f>
        <v>1.25</v>
      </c>
      <c r="E4">
        <f>(1/B4*100)*C4</f>
        <v>37500</v>
      </c>
      <c r="F4">
        <f>(E4+G4)/2</f>
        <v>56250</v>
      </c>
      <c r="G4">
        <f>E4*2</f>
        <v>75000</v>
      </c>
      <c r="I4">
        <v>2</v>
      </c>
      <c r="J4">
        <v>100</v>
      </c>
      <c r="K4">
        <v>30000</v>
      </c>
      <c r="L4">
        <v>1</v>
      </c>
      <c r="M4">
        <v>30000</v>
      </c>
      <c r="N4">
        <v>45000</v>
      </c>
      <c r="O4">
        <v>60000</v>
      </c>
      <c r="Q4">
        <v>2</v>
      </c>
      <c r="R4">
        <v>100</v>
      </c>
      <c r="S4">
        <v>20999</v>
      </c>
      <c r="T4">
        <v>1</v>
      </c>
      <c r="U4">
        <v>20999</v>
      </c>
      <c r="V4">
        <v>31499</v>
      </c>
      <c r="W4">
        <v>41998</v>
      </c>
    </row>
    <row r="5">
      <c r="A5">
        <f>A4+1</f>
        <v>3</v>
      </c>
      <c r="B5">
        <v>70</v>
      </c>
      <c r="C5">
        <v>45000</v>
      </c>
      <c r="D5">
        <f>1/B5*100</f>
        <v>1.428571429</v>
      </c>
      <c r="E5">
        <f>(1/B5*100)*C5</f>
        <v>64285.71429</v>
      </c>
      <c r="F5">
        <f>(E5+G5)/2</f>
        <v>96428.57143</v>
      </c>
      <c r="G5">
        <f>E5*2</f>
        <v>128571.4286</v>
      </c>
      <c r="I5">
        <v>3</v>
      </c>
      <c r="J5">
        <v>100</v>
      </c>
      <c r="K5">
        <v>45000</v>
      </c>
      <c r="L5">
        <v>1</v>
      </c>
      <c r="M5">
        <v>45000</v>
      </c>
      <c r="N5">
        <v>67500</v>
      </c>
      <c r="O5">
        <v>90000</v>
      </c>
      <c r="Q5">
        <v>3</v>
      </c>
      <c r="R5">
        <v>100</v>
      </c>
      <c r="S5">
        <v>31499</v>
      </c>
      <c r="T5">
        <v>1</v>
      </c>
      <c r="U5">
        <v>31499</v>
      </c>
      <c r="V5">
        <v>47249</v>
      </c>
      <c r="W5">
        <v>62998</v>
      </c>
    </row>
    <row r="6">
      <c r="A6">
        <f>A5+1</f>
        <v>4</v>
      </c>
      <c r="B6">
        <v>60</v>
      </c>
      <c r="C6">
        <v>60000</v>
      </c>
      <c r="D6">
        <f>1/B6*100</f>
        <v>1.666666667</v>
      </c>
      <c r="E6">
        <f>(1/B6*100)*C6</f>
        <v>100000</v>
      </c>
      <c r="F6">
        <f>(E6+G6)/2</f>
        <v>150000</v>
      </c>
      <c r="G6">
        <f>E6*2</f>
        <v>200000</v>
      </c>
      <c r="I6">
        <v>4</v>
      </c>
      <c r="J6">
        <v>100</v>
      </c>
      <c r="K6">
        <v>60000</v>
      </c>
      <c r="L6">
        <v>1</v>
      </c>
      <c r="M6">
        <v>60000</v>
      </c>
      <c r="N6">
        <v>90000</v>
      </c>
      <c r="O6">
        <v>120000</v>
      </c>
      <c r="Q6">
        <v>4</v>
      </c>
      <c r="R6">
        <v>100</v>
      </c>
      <c r="S6">
        <v>41999</v>
      </c>
      <c r="T6">
        <v>1</v>
      </c>
      <c r="U6">
        <v>41999</v>
      </c>
      <c r="V6">
        <v>62999</v>
      </c>
      <c r="W6">
        <v>83998</v>
      </c>
    </row>
    <row r="7">
      <c r="A7">
        <f>A6+1</f>
        <v>5</v>
      </c>
      <c r="B7">
        <v>50</v>
      </c>
      <c r="C7">
        <f>C6+15000</f>
        <v>75000</v>
      </c>
      <c r="D7">
        <f>1/B7*100</f>
        <v>2</v>
      </c>
      <c r="E7">
        <f>(1/B7*100)*C7</f>
        <v>150000</v>
      </c>
      <c r="F7">
        <f>(E7+G7)/2</f>
        <v>225000</v>
      </c>
      <c r="G7">
        <f>E7*2</f>
        <v>300000</v>
      </c>
      <c r="I7">
        <v>5</v>
      </c>
      <c r="J7">
        <v>100</v>
      </c>
      <c r="K7">
        <v>75000</v>
      </c>
      <c r="L7">
        <v>1</v>
      </c>
      <c r="M7">
        <v>75000</v>
      </c>
      <c r="N7">
        <v>112500</v>
      </c>
      <c r="O7">
        <v>150000</v>
      </c>
      <c r="Q7">
        <v>5</v>
      </c>
      <c r="R7">
        <v>100</v>
      </c>
      <c r="S7">
        <v>52499</v>
      </c>
      <c r="T7">
        <v>1</v>
      </c>
      <c r="U7">
        <v>52499</v>
      </c>
      <c r="V7">
        <v>78749</v>
      </c>
      <c r="W7">
        <v>104998</v>
      </c>
    </row>
    <row r="8">
      <c r="A8">
        <f>A7+1</f>
        <v>6</v>
      </c>
      <c r="B8">
        <v>40</v>
      </c>
      <c r="C8">
        <f>C7+15000</f>
        <v>90000</v>
      </c>
      <c r="D8">
        <f>1/B8*100</f>
        <v>2.5</v>
      </c>
      <c r="E8">
        <f>(1/B8*100)*C8</f>
        <v>225000</v>
      </c>
      <c r="F8">
        <f>(E8+G8)/2</f>
        <v>337500</v>
      </c>
      <c r="G8">
        <f>E8*2</f>
        <v>450000</v>
      </c>
      <c r="I8">
        <v>6</v>
      </c>
      <c r="J8">
        <v>80</v>
      </c>
      <c r="K8">
        <v>90000</v>
      </c>
      <c r="L8">
        <v>1.25</v>
      </c>
      <c r="M8">
        <v>112500</v>
      </c>
      <c r="N8">
        <v>168750</v>
      </c>
      <c r="O8">
        <v>225000</v>
      </c>
      <c r="Q8">
        <v>6</v>
      </c>
      <c r="R8">
        <v>100</v>
      </c>
      <c r="S8">
        <v>62999</v>
      </c>
      <c r="T8">
        <v>1</v>
      </c>
      <c r="U8">
        <v>62999</v>
      </c>
      <c r="V8">
        <v>94499</v>
      </c>
      <c r="W8">
        <v>125998</v>
      </c>
    </row>
    <row r="9">
      <c r="A9">
        <f>A8+1</f>
        <v>7</v>
      </c>
      <c r="B9">
        <v>30</v>
      </c>
      <c r="C9">
        <f>C8+15000</f>
        <v>105000</v>
      </c>
      <c r="D9">
        <f>1/B9*100</f>
        <v>3.333333333</v>
      </c>
      <c r="E9">
        <f>(1/B9*100)*C9</f>
        <v>350000</v>
      </c>
      <c r="F9">
        <f>(E9+G9)/2</f>
        <v>525000</v>
      </c>
      <c r="G9">
        <f>E9*2</f>
        <v>700000</v>
      </c>
      <c r="I9">
        <v>7</v>
      </c>
      <c r="J9">
        <v>60</v>
      </c>
      <c r="K9">
        <v>105000</v>
      </c>
      <c r="L9">
        <v>1.666666667</v>
      </c>
      <c r="M9">
        <v>175000</v>
      </c>
      <c r="N9">
        <v>262500</v>
      </c>
      <c r="O9">
        <v>350000</v>
      </c>
      <c r="Q9">
        <v>7</v>
      </c>
      <c r="R9">
        <v>100</v>
      </c>
      <c r="S9">
        <v>73499</v>
      </c>
      <c r="T9">
        <v>1</v>
      </c>
      <c r="U9">
        <v>73499</v>
      </c>
      <c r="V9">
        <v>110249</v>
      </c>
      <c r="W9">
        <v>146998</v>
      </c>
    </row>
    <row r="10">
      <c r="A10">
        <f>A9+1</f>
        <v>8</v>
      </c>
      <c r="B10">
        <v>20</v>
      </c>
      <c r="C10">
        <f>C9+15000</f>
        <v>120000</v>
      </c>
      <c r="D10">
        <f>1/B10*100</f>
        <v>5</v>
      </c>
      <c r="E10">
        <f>(1/B10*100)*C10</f>
        <v>600000</v>
      </c>
      <c r="F10">
        <f>(E10+G10)/2</f>
        <v>900000</v>
      </c>
      <c r="G10">
        <f>E10*2</f>
        <v>1200000</v>
      </c>
      <c r="I10">
        <v>8</v>
      </c>
      <c r="J10">
        <v>40</v>
      </c>
      <c r="K10">
        <v>120000</v>
      </c>
      <c r="L10">
        <v>2.5</v>
      </c>
      <c r="M10">
        <v>300000</v>
      </c>
      <c r="N10">
        <v>450000</v>
      </c>
      <c r="O10">
        <v>600000</v>
      </c>
      <c r="Q10">
        <v>8</v>
      </c>
      <c r="R10">
        <v>80</v>
      </c>
      <c r="S10">
        <v>83999</v>
      </c>
      <c r="T10">
        <v>1.25</v>
      </c>
      <c r="U10">
        <v>104999</v>
      </c>
      <c r="V10">
        <v>157498</v>
      </c>
      <c r="W10">
        <v>209997.5</v>
      </c>
    </row>
    <row r="11">
      <c r="A11">
        <f>A10+1</f>
        <v>9</v>
      </c>
      <c r="B11">
        <v>10</v>
      </c>
      <c r="C11">
        <f>C10+15000</f>
        <v>135000</v>
      </c>
      <c r="D11">
        <f>1/B11*100</f>
        <v>10</v>
      </c>
      <c r="E11">
        <f>(1/B11*100)*C11</f>
        <v>1350000</v>
      </c>
      <c r="F11">
        <f>(E11+G11)/2</f>
        <v>2025000</v>
      </c>
      <c r="G11">
        <f>E11*2</f>
        <v>2700000</v>
      </c>
      <c r="I11">
        <v>9</v>
      </c>
      <c r="J11">
        <v>20</v>
      </c>
      <c r="K11">
        <v>135000</v>
      </c>
      <c r="L11">
        <v>5</v>
      </c>
      <c r="M11">
        <v>675000</v>
      </c>
      <c r="N11">
        <v>1012500</v>
      </c>
      <c r="O11">
        <v>1350000</v>
      </c>
      <c r="Q11">
        <v>9</v>
      </c>
      <c r="R11">
        <v>40</v>
      </c>
      <c r="S11">
        <v>94499</v>
      </c>
      <c r="T11">
        <v>2.5</v>
      </c>
      <c r="U11">
        <v>236248</v>
      </c>
      <c r="V11">
        <v>354371</v>
      </c>
      <c r="W11">
        <v>472495</v>
      </c>
    </row>
    <row r="12">
      <c r="A12">
        <f>A11+1</f>
        <v>10</v>
      </c>
      <c r="B12">
        <v>5</v>
      </c>
      <c r="C12">
        <f>C11+15000</f>
        <v>150000</v>
      </c>
      <c r="D12">
        <f>1/B12*100</f>
        <v>20</v>
      </c>
      <c r="E12">
        <f>(1/B12*100)*C12</f>
        <v>3000000</v>
      </c>
      <c r="F12">
        <f>(E12+G12)/2</f>
        <v>4500000</v>
      </c>
      <c r="G12">
        <f>E12*2</f>
        <v>6000000</v>
      </c>
      <c r="I12">
        <v>10</v>
      </c>
      <c r="J12">
        <v>10</v>
      </c>
      <c r="K12">
        <v>150000</v>
      </c>
      <c r="L12">
        <v>10</v>
      </c>
      <c r="M12">
        <v>1500000</v>
      </c>
      <c r="N12">
        <v>2250000</v>
      </c>
      <c r="O12">
        <v>3000000</v>
      </c>
      <c r="Q12">
        <v>10</v>
      </c>
      <c r="R12">
        <v>20</v>
      </c>
      <c r="S12">
        <v>104999</v>
      </c>
      <c r="T12">
        <v>5</v>
      </c>
      <c r="U12">
        <v>524995</v>
      </c>
      <c r="V12">
        <v>787493</v>
      </c>
      <c r="W12">
        <v>1049990</v>
      </c>
    </row>
    <row r="13">
      <c r="A13">
        <f>A12+1</f>
        <v>11</v>
      </c>
      <c r="B13">
        <v>4</v>
      </c>
      <c r="C13">
        <f>C12+15000</f>
        <v>165000</v>
      </c>
      <c r="D13">
        <f>1/B13*100</f>
        <v>25</v>
      </c>
      <c r="E13">
        <f>(1/B13*100)*C13</f>
        <v>4125000</v>
      </c>
      <c r="F13">
        <f>(E13+G13)/2</f>
        <v>6187500</v>
      </c>
      <c r="G13">
        <f>E13*2</f>
        <v>8250000</v>
      </c>
      <c r="I13">
        <v>11</v>
      </c>
      <c r="J13">
        <v>8</v>
      </c>
      <c r="K13">
        <v>165000</v>
      </c>
      <c r="L13">
        <v>12.5</v>
      </c>
      <c r="M13">
        <v>2062500</v>
      </c>
      <c r="N13">
        <v>3093750</v>
      </c>
      <c r="O13">
        <v>4125000</v>
      </c>
      <c r="Q13">
        <v>11</v>
      </c>
      <c r="R13">
        <v>16</v>
      </c>
      <c r="S13">
        <v>115499</v>
      </c>
      <c r="T13">
        <v>6.25</v>
      </c>
      <c r="U13">
        <v>721869</v>
      </c>
      <c r="V13">
        <v>1082803</v>
      </c>
      <c r="W13">
        <v>1443737.5</v>
      </c>
    </row>
    <row r="14">
      <c r="A14">
        <f>A13+1</f>
        <v>12</v>
      </c>
      <c r="B14">
        <v>3</v>
      </c>
      <c r="C14">
        <f>C13+15000</f>
        <v>180000</v>
      </c>
      <c r="D14">
        <f>1/B14*100</f>
        <v>33.33333333</v>
      </c>
      <c r="E14">
        <f>(1/B14*100)*C14</f>
        <v>6000000</v>
      </c>
      <c r="F14">
        <f>(E14+G14)/2</f>
        <v>9000000</v>
      </c>
      <c r="G14">
        <f>E14*2</f>
        <v>12000000</v>
      </c>
      <c r="I14">
        <v>12</v>
      </c>
      <c r="J14">
        <v>6</v>
      </c>
      <c r="K14">
        <v>180000</v>
      </c>
      <c r="L14">
        <v>16.66666667</v>
      </c>
      <c r="M14">
        <v>3000000</v>
      </c>
      <c r="N14">
        <v>4500000</v>
      </c>
      <c r="O14">
        <v>6000000</v>
      </c>
      <c r="Q14">
        <v>12</v>
      </c>
      <c r="R14">
        <v>12</v>
      </c>
      <c r="S14">
        <v>125999</v>
      </c>
      <c r="T14">
        <v>8.333333333</v>
      </c>
      <c r="U14">
        <v>1049992</v>
      </c>
      <c r="V14">
        <v>1574988</v>
      </c>
      <c r="W14">
        <v>2099983.33</v>
      </c>
    </row>
    <row r="15">
      <c r="A15">
        <f>A14+1</f>
        <v>13</v>
      </c>
      <c r="B15">
        <v>2</v>
      </c>
      <c r="C15">
        <f>C14+15000</f>
        <v>195000</v>
      </c>
      <c r="D15">
        <f>1/B15*100</f>
        <v>50</v>
      </c>
      <c r="E15">
        <f>(1/B15*100)*C15</f>
        <v>9750000</v>
      </c>
      <c r="F15">
        <f>(E15+G15)/2</f>
        <v>14625000</v>
      </c>
      <c r="G15">
        <f>E15*2</f>
        <v>19500000</v>
      </c>
      <c r="I15">
        <v>13</v>
      </c>
      <c r="J15">
        <v>4</v>
      </c>
      <c r="K15">
        <v>195000</v>
      </c>
      <c r="L15">
        <v>25</v>
      </c>
      <c r="M15">
        <v>4875000</v>
      </c>
      <c r="N15">
        <v>7312500</v>
      </c>
      <c r="O15">
        <v>9750000</v>
      </c>
      <c r="Q15">
        <v>13</v>
      </c>
      <c r="R15">
        <v>8</v>
      </c>
      <c r="S15">
        <v>136499</v>
      </c>
      <c r="T15">
        <v>12.5</v>
      </c>
      <c r="U15">
        <v>1706238</v>
      </c>
      <c r="V15">
        <v>2559356</v>
      </c>
      <c r="W15">
        <v>3412475</v>
      </c>
    </row>
    <row r="16">
      <c r="A16">
        <f>A15+1</f>
        <v>14</v>
      </c>
      <c r="B16">
        <v>1</v>
      </c>
      <c r="C16">
        <f>C15+15000</f>
        <v>210000</v>
      </c>
      <c r="D16">
        <f>1/B16*100</f>
        <v>100</v>
      </c>
      <c r="E16">
        <f>(1/B16*100)*C16</f>
        <v>21000000</v>
      </c>
      <c r="F16">
        <f>(E16+G16)/2</f>
        <v>31500000</v>
      </c>
      <c r="G16">
        <f>E16*2</f>
        <v>42000000</v>
      </c>
      <c r="I16">
        <v>14</v>
      </c>
      <c r="J16">
        <v>2</v>
      </c>
      <c r="K16">
        <v>210000</v>
      </c>
      <c r="L16">
        <v>50</v>
      </c>
      <c r="M16">
        <v>10500000</v>
      </c>
      <c r="N16">
        <v>15750000</v>
      </c>
      <c r="O16">
        <v>21000000</v>
      </c>
      <c r="Q16">
        <v>14</v>
      </c>
      <c r="R16">
        <v>4</v>
      </c>
      <c r="S16">
        <v>146999</v>
      </c>
      <c r="T16">
        <v>25</v>
      </c>
      <c r="U16">
        <v>3674975</v>
      </c>
      <c r="V16">
        <v>5512463</v>
      </c>
      <c r="W16">
        <v>7349950</v>
      </c>
    </row>
    <row r="17">
      <c r="A17">
        <f>A16+1</f>
        <v>15</v>
      </c>
      <c r="B17">
        <v>0.8</v>
      </c>
      <c r="C17">
        <f>C16+15000</f>
        <v>225000</v>
      </c>
      <c r="D17">
        <f>1/B17*100</f>
        <v>125</v>
      </c>
      <c r="E17">
        <f>(1/B17*100)*C17</f>
        <v>28125000</v>
      </c>
      <c r="F17">
        <f>(E17+G17)/2</f>
        <v>42187500</v>
      </c>
      <c r="G17">
        <f>E17*2</f>
        <v>56250000</v>
      </c>
      <c r="I17">
        <v>15</v>
      </c>
      <c r="J17">
        <v>1.6</v>
      </c>
      <c r="K17">
        <v>225000</v>
      </c>
      <c r="L17">
        <v>62.5</v>
      </c>
      <c r="M17">
        <v>14062500</v>
      </c>
      <c r="N17">
        <v>21093750</v>
      </c>
      <c r="O17">
        <v>28125000</v>
      </c>
      <c r="Q17">
        <v>15</v>
      </c>
      <c r="R17">
        <v>3.2</v>
      </c>
      <c r="S17">
        <v>157499</v>
      </c>
      <c r="T17">
        <v>31.25</v>
      </c>
      <c r="U17">
        <v>4921844</v>
      </c>
      <c r="V17">
        <v>7382766</v>
      </c>
      <c r="W17">
        <v>9843687.5</v>
      </c>
    </row>
    <row r="18">
      <c r="A18">
        <f>A17+1</f>
        <v>16</v>
      </c>
      <c r="B18">
        <v>0.6</v>
      </c>
      <c r="C18">
        <f>C17+15000</f>
        <v>240000</v>
      </c>
      <c r="D18">
        <f>1/B18*100</f>
        <v>166.6666667</v>
      </c>
      <c r="E18">
        <f>(1/B18*100)*C18</f>
        <v>40000000</v>
      </c>
      <c r="F18">
        <f>(E18+G18)/2</f>
        <v>60000000</v>
      </c>
      <c r="G18">
        <f>E18*2</f>
        <v>80000000</v>
      </c>
      <c r="I18">
        <v>16</v>
      </c>
      <c r="J18">
        <v>1.2</v>
      </c>
      <c r="K18">
        <v>240000</v>
      </c>
      <c r="L18">
        <v>83.33333333</v>
      </c>
      <c r="M18">
        <v>20000000</v>
      </c>
      <c r="N18">
        <v>30000000</v>
      </c>
      <c r="O18">
        <v>40000000</v>
      </c>
      <c r="Q18">
        <v>16</v>
      </c>
      <c r="R18">
        <v>2.4</v>
      </c>
      <c r="S18">
        <v>167999</v>
      </c>
      <c r="T18">
        <v>41.66666667</v>
      </c>
      <c r="U18">
        <v>6999958</v>
      </c>
      <c r="V18">
        <v>10499938</v>
      </c>
      <c r="W18">
        <v>13999916.67</v>
      </c>
    </row>
    <row r="19">
      <c r="A19">
        <f>A18+1</f>
        <v>17</v>
      </c>
      <c r="B19">
        <v>0.4</v>
      </c>
      <c r="C19">
        <f>C18+15000</f>
        <v>255000</v>
      </c>
      <c r="D19">
        <f>1/B19*100</f>
        <v>250</v>
      </c>
      <c r="E19">
        <f>(1/B19*100)*C19</f>
        <v>63750000</v>
      </c>
      <c r="F19">
        <f>(E19+G19)/2</f>
        <v>95625000</v>
      </c>
      <c r="G19">
        <f>E19*2</f>
        <v>127500000</v>
      </c>
      <c r="I19">
        <v>17</v>
      </c>
      <c r="J19">
        <v>0.8</v>
      </c>
      <c r="K19">
        <v>255000</v>
      </c>
      <c r="L19">
        <v>125</v>
      </c>
      <c r="M19">
        <v>31875000</v>
      </c>
      <c r="N19">
        <v>47812500</v>
      </c>
      <c r="O19">
        <v>63750000</v>
      </c>
      <c r="Q19">
        <v>17</v>
      </c>
      <c r="R19">
        <v>1.6</v>
      </c>
      <c r="S19">
        <v>178500</v>
      </c>
      <c r="T19">
        <v>62.5</v>
      </c>
      <c r="U19">
        <v>11156250</v>
      </c>
      <c r="V19">
        <v>16734375</v>
      </c>
      <c r="W19">
        <v>22312500</v>
      </c>
    </row>
    <row r="20">
      <c r="A20">
        <f>A19+1</f>
        <v>18</v>
      </c>
      <c r="B20">
        <v>0.2</v>
      </c>
      <c r="C20">
        <f>C19+15000</f>
        <v>270000</v>
      </c>
      <c r="D20">
        <f>1/B20*100</f>
        <v>500</v>
      </c>
      <c r="E20">
        <f>(1/B20*100)*C20</f>
        <v>135000000</v>
      </c>
      <c r="F20">
        <f>(E20+G20)/2</f>
        <v>202500000</v>
      </c>
      <c r="G20">
        <f>E20*2</f>
        <v>270000000</v>
      </c>
      <c r="I20">
        <v>18</v>
      </c>
      <c r="J20">
        <v>0.4</v>
      </c>
      <c r="K20">
        <v>270000</v>
      </c>
      <c r="L20">
        <v>250</v>
      </c>
      <c r="M20">
        <v>67500000</v>
      </c>
      <c r="N20">
        <v>101250000</v>
      </c>
      <c r="O20">
        <v>135000000</v>
      </c>
      <c r="Q20">
        <v>18</v>
      </c>
      <c r="R20">
        <v>0.8</v>
      </c>
      <c r="S20">
        <v>189000</v>
      </c>
      <c r="T20">
        <v>125</v>
      </c>
      <c r="U20">
        <v>23625000</v>
      </c>
      <c r="V20">
        <v>35437500</v>
      </c>
      <c r="W20">
        <v>47250000</v>
      </c>
    </row>
    <row r="21">
      <c r="A21">
        <f>A20+1</f>
        <v>19</v>
      </c>
      <c r="B21">
        <v>0.1</v>
      </c>
      <c r="C21">
        <f>C20+15000</f>
        <v>285000</v>
      </c>
      <c r="D21">
        <f>1/B21*100</f>
        <v>1000</v>
      </c>
      <c r="E21">
        <f>(1/B21*100)*C21</f>
        <v>285000000</v>
      </c>
      <c r="F21">
        <f>(E21+G21)/2</f>
        <v>427500000</v>
      </c>
      <c r="G21">
        <f>E21*2</f>
        <v>570000000</v>
      </c>
      <c r="I21">
        <v>19</v>
      </c>
      <c r="J21">
        <v>0.2</v>
      </c>
      <c r="K21">
        <v>285000</v>
      </c>
      <c r="L21">
        <v>500</v>
      </c>
      <c r="M21">
        <v>142500000</v>
      </c>
      <c r="N21">
        <v>213750000</v>
      </c>
      <c r="O21">
        <v>285000000</v>
      </c>
      <c r="Q21">
        <v>19</v>
      </c>
      <c r="R21">
        <v>0.6</v>
      </c>
      <c r="S21">
        <v>199500</v>
      </c>
      <c r="T21">
        <v>166.6666667</v>
      </c>
      <c r="U21">
        <v>33250000</v>
      </c>
      <c r="V21">
        <v>49875000</v>
      </c>
      <c r="W21">
        <v>66500000</v>
      </c>
    </row>
    <row r="22">
      <c r="A22">
        <f>A21+1</f>
        <v>20</v>
      </c>
      <c r="B22">
        <v>0.1</v>
      </c>
      <c r="C22">
        <f>C21+15000</f>
        <v>300000</v>
      </c>
      <c r="D22">
        <f>1/B22*100</f>
        <v>1000</v>
      </c>
      <c r="E22">
        <f>(1/B22*100)*C22</f>
        <v>300000000</v>
      </c>
      <c r="F22">
        <f>(E22+G22)/2</f>
        <v>450000000</v>
      </c>
      <c r="G22">
        <f>E22*2</f>
        <v>600000000</v>
      </c>
      <c r="I22">
        <v>20</v>
      </c>
      <c r="J22">
        <v>0.2</v>
      </c>
      <c r="K22">
        <v>300000</v>
      </c>
      <c r="L22">
        <v>500</v>
      </c>
      <c r="M22">
        <v>150000000</v>
      </c>
      <c r="N22">
        <v>225000000</v>
      </c>
      <c r="O22">
        <v>300000000</v>
      </c>
      <c r="Q22">
        <v>20</v>
      </c>
      <c r="R22">
        <v>0.4</v>
      </c>
      <c r="S22">
        <v>210000</v>
      </c>
      <c r="T22">
        <v>250</v>
      </c>
      <c r="U22">
        <v>52500000</v>
      </c>
      <c r="V22">
        <v>78750000</v>
      </c>
      <c r="W22">
        <v>105000000</v>
      </c>
    </row>
    <row r="23">
      <c r="A23">
        <f>A22+1</f>
        <v>21</v>
      </c>
      <c r="B23">
        <v>0.1</v>
      </c>
      <c r="C23">
        <f>C22+15000</f>
        <v>315000</v>
      </c>
      <c r="D23">
        <f>1/B23*100</f>
        <v>1000</v>
      </c>
      <c r="E23">
        <f>(1/B23*100)*C23</f>
        <v>315000000</v>
      </c>
      <c r="F23">
        <f>(E23+G23)/2</f>
        <v>472500000</v>
      </c>
      <c r="G23">
        <f>E23*2</f>
        <v>630000000</v>
      </c>
      <c r="I23">
        <v>21</v>
      </c>
      <c r="J23">
        <v>0.2</v>
      </c>
      <c r="K23">
        <v>315000</v>
      </c>
      <c r="L23">
        <v>500</v>
      </c>
      <c r="M23">
        <v>157500000</v>
      </c>
      <c r="N23">
        <v>236250000</v>
      </c>
      <c r="O23">
        <v>315000000</v>
      </c>
      <c r="Q23">
        <v>21</v>
      </c>
      <c r="R23">
        <v>0.4</v>
      </c>
      <c r="S23">
        <v>220500</v>
      </c>
      <c r="T23">
        <v>250</v>
      </c>
      <c r="U23">
        <v>55125000</v>
      </c>
      <c r="V23">
        <v>82687500</v>
      </c>
      <c r="W23">
        <v>110250000</v>
      </c>
    </row>
    <row r="24">
      <c r="A24">
        <f>A23+1</f>
        <v>22</v>
      </c>
      <c r="B24">
        <v>0.1</v>
      </c>
      <c r="C24">
        <f>C23+15000</f>
        <v>330000</v>
      </c>
      <c r="D24">
        <f>1/B24*100</f>
        <v>1000</v>
      </c>
      <c r="E24">
        <f>(1/B24*100)*C24</f>
        <v>330000000</v>
      </c>
      <c r="F24">
        <f>(E24+G24)/2</f>
        <v>495000000</v>
      </c>
      <c r="G24">
        <f>E24*2</f>
        <v>660000000</v>
      </c>
      <c r="I24">
        <v>22</v>
      </c>
      <c r="J24">
        <v>0.2</v>
      </c>
      <c r="K24">
        <v>330000</v>
      </c>
      <c r="L24">
        <v>500</v>
      </c>
      <c r="M24">
        <v>165000000</v>
      </c>
      <c r="N24">
        <v>247500000</v>
      </c>
      <c r="O24">
        <v>330000000</v>
      </c>
      <c r="Q24">
        <v>22</v>
      </c>
      <c r="R24">
        <v>0.4</v>
      </c>
      <c r="S24">
        <v>230999</v>
      </c>
      <c r="T24">
        <v>250</v>
      </c>
      <c r="U24">
        <v>57749750</v>
      </c>
      <c r="V24">
        <v>86624625</v>
      </c>
      <c r="W24">
        <v>115499500</v>
      </c>
    </row>
    <row r="25">
      <c r="A25">
        <f>A24+1</f>
        <v>23</v>
      </c>
      <c r="B25">
        <v>0.1</v>
      </c>
      <c r="C25">
        <f>C24+15000</f>
        <v>345000</v>
      </c>
      <c r="D25">
        <f>1/B25*100</f>
        <v>1000</v>
      </c>
      <c r="E25">
        <f>(1/B25*100)*C25</f>
        <v>345000000</v>
      </c>
      <c r="F25">
        <f>(E25+G25)/2</f>
        <v>517500000</v>
      </c>
      <c r="G25">
        <f>E25*2</f>
        <v>690000000</v>
      </c>
      <c r="I25">
        <v>23</v>
      </c>
      <c r="J25">
        <v>0.2</v>
      </c>
      <c r="K25">
        <v>345000</v>
      </c>
      <c r="L25">
        <v>500</v>
      </c>
      <c r="M25">
        <v>172500000</v>
      </c>
      <c r="N25">
        <v>258750000</v>
      </c>
      <c r="O25">
        <v>345000000</v>
      </c>
      <c r="Q25">
        <v>23</v>
      </c>
      <c r="R25">
        <v>0.4</v>
      </c>
      <c r="S25">
        <v>241499</v>
      </c>
      <c r="T25">
        <v>250</v>
      </c>
      <c r="U25">
        <v>60374750</v>
      </c>
      <c r="V25">
        <v>90562125</v>
      </c>
      <c r="W25">
        <v>120749500</v>
      </c>
    </row>
    <row r="26">
      <c r="A26">
        <f>A25+1</f>
        <v>24</v>
      </c>
      <c r="B26">
        <v>0.1</v>
      </c>
      <c r="C26">
        <f>C25+15000</f>
        <v>360000</v>
      </c>
      <c r="D26">
        <f>1/B26*100</f>
        <v>1000</v>
      </c>
      <c r="E26">
        <f>(1/B26*100)*C26</f>
        <v>360000000</v>
      </c>
      <c r="F26">
        <f>(E26+G26)/2</f>
        <v>540000000</v>
      </c>
      <c r="G26">
        <f>E26*2</f>
        <v>720000000</v>
      </c>
      <c r="I26">
        <v>24</v>
      </c>
      <c r="J26">
        <v>0.2</v>
      </c>
      <c r="K26">
        <v>360000</v>
      </c>
      <c r="L26">
        <v>500</v>
      </c>
      <c r="M26">
        <v>180000000</v>
      </c>
      <c r="N26">
        <v>270000000</v>
      </c>
      <c r="O26">
        <v>360000000</v>
      </c>
      <c r="Q26">
        <v>24</v>
      </c>
      <c r="R26">
        <v>0.4</v>
      </c>
      <c r="S26">
        <v>251999</v>
      </c>
      <c r="T26">
        <v>250</v>
      </c>
      <c r="U26">
        <v>62999750</v>
      </c>
      <c r="V26">
        <v>94499625</v>
      </c>
      <c r="W26">
        <v>125999500</v>
      </c>
    </row>
    <row r="28">
      <c r="D28" t="str">
        <v>Total Cost 1-25</v>
      </c>
      <c r="E28">
        <f>SUM(E3:E26)</f>
        <v>2248643452</v>
      </c>
      <c r="F28">
        <f>SUM(F3:F26)</f>
        <v>3372965179</v>
      </c>
      <c r="G28">
        <f>SUM(G3:G26)</f>
        <v>4497286905</v>
      </c>
      <c r="L28" t="str">
        <v>Total Cost 1-25</v>
      </c>
      <c r="M28">
        <v>1124362500</v>
      </c>
      <c r="N28">
        <v>1686543750</v>
      </c>
      <c r="O28">
        <v>2248725000</v>
      </c>
      <c r="T28" t="str">
        <v>Total Cost 1-25</v>
      </c>
      <c r="U28">
        <v>377015609</v>
      </c>
      <c r="V28">
        <v>565523414</v>
      </c>
      <c r="W28">
        <v>754031219</v>
      </c>
    </row>
    <row r="30">
      <c r="A30" t="str">
        <v>By Ethan</v>
      </c>
    </row>
    <row r="31">
      <c r="A31" t="str">
        <v>x2 Costs for Ancients</v>
      </c>
    </row>
    <row r="32">
      <c r="A32" t="str">
        <v>1/3 Costs for Mythics</v>
      </c>
    </row>
    <row r="33">
      <c r="A33" t="str">
        <v>Missing + Horned Helmet Calcs</v>
      </c>
    </row>
  </sheetData>
  <ignoredErrors>
    <ignoredError numberStoredAsText="1" sqref="A1:W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41"/>
  <sheetViews>
    <sheetView workbookViewId="0" rightToLeft="0"/>
  </sheetViews>
  <sheetData>
    <row r="1">
      <c r="A1" t="str">
        <v>Coins Spent</v>
      </c>
      <c r="B1" t="str">
        <v>Chances of Medusa/Commander/Demon</v>
      </c>
      <c r="D1" t="str">
        <v>Coins Spent</v>
      </c>
      <c r="E1" t="str">
        <v>Chances of Saint/Omela</v>
      </c>
      <c r="G1" t="str">
        <v>700 cost coconut crate, 0.07% Triton</v>
      </c>
      <c r="J1" t="str">
        <v>1800 cost coconut crate, 0.11% Triton</v>
      </c>
      <c r="M1" t="str">
        <v>1800 Coconut Crate, 0.05% Poseidon</v>
      </c>
    </row>
    <row r="2">
      <c r="A2">
        <v>10000000</v>
      </c>
      <c r="B2">
        <f>1-(0.9997)^(A2/25000)</f>
        <v>0.1130955309</v>
      </c>
      <c r="D2">
        <v>50000000</v>
      </c>
      <c r="E2">
        <f>1-(0.9998)^(D2/140000)</f>
        <v>0.06894387161</v>
      </c>
      <c r="G2" t="str">
        <v>Coconuts Spent</v>
      </c>
      <c r="H2" t="str">
        <v>Chances of Triton</v>
      </c>
      <c r="J2" t="str">
        <v>Coconuts Spent</v>
      </c>
      <c r="K2" t="str">
        <v>Chances of Triton</v>
      </c>
      <c r="M2" t="str">
        <v>Coconuts Spent</v>
      </c>
      <c r="N2" t="str">
        <v>Chances of Poseidon</v>
      </c>
    </row>
    <row r="3">
      <c r="A3">
        <f>A2+10000000</f>
        <v>20000000</v>
      </c>
      <c r="B3">
        <f>1-(0.9997)^(A3/25000)</f>
        <v>0.2134004627</v>
      </c>
      <c r="D3">
        <f>D2+50000000</f>
        <v>100000000</v>
      </c>
      <c r="E3">
        <f>1-(0.9998)^(D3/140000)</f>
        <v>0.1331344858</v>
      </c>
      <c r="G3">
        <v>100000</v>
      </c>
      <c r="H3">
        <f>1-(0.9993)^(G3/700)</f>
        <v>0.09519426551</v>
      </c>
      <c r="J3">
        <v>150000</v>
      </c>
      <c r="K3">
        <f>1-(0.9989)^(J3/1800)</f>
        <v>0.08763679796</v>
      </c>
      <c r="M3">
        <v>250000</v>
      </c>
      <c r="N3">
        <f>1-(0.9995)^(M3/1800)</f>
        <v>0.06710424126</v>
      </c>
    </row>
    <row r="4">
      <c r="A4">
        <f>A3+10000000</f>
        <v>30000000</v>
      </c>
      <c r="B4">
        <f>1-(0.9997)^(A4/25000)</f>
        <v>0.302361355</v>
      </c>
      <c r="D4">
        <f>D3+50000000</f>
        <v>150000000</v>
      </c>
      <c r="E4">
        <f>1-(0.9998)^(D4/140000)</f>
        <v>0.1928995505</v>
      </c>
      <c r="G4">
        <f>G3+G3</f>
        <v>200000</v>
      </c>
      <c r="H4">
        <f>1-(0.9993)^(G4/700)</f>
        <v>0.1813265828</v>
      </c>
      <c r="J4">
        <f>J3+J3</f>
        <v>300000</v>
      </c>
      <c r="K4">
        <f>1-(0.9989)^(J4/1800)</f>
        <v>0.1675933876</v>
      </c>
      <c r="M4">
        <f>M3+M3</f>
        <v>500000</v>
      </c>
      <c r="N4">
        <f>1-(0.9995)^(M4/1800)</f>
        <v>0.1297055033</v>
      </c>
    </row>
    <row r="5">
      <c r="A5">
        <f>A4+10000000</f>
        <v>40000000</v>
      </c>
      <c r="B5">
        <f>1-(0.9997)^(A5/25000)</f>
        <v>0.3812611679</v>
      </c>
      <c r="D5">
        <f>D4+50000000</f>
        <v>200000000</v>
      </c>
      <c r="E5">
        <f>1-(0.9998)^(D5/140000)</f>
        <v>0.2485441803</v>
      </c>
      <c r="G5">
        <f>G4+100000</f>
        <v>300000</v>
      </c>
      <c r="H5">
        <f>1-(0.9993)^(G5/700)</f>
        <v>0.2592595975</v>
      </c>
      <c r="J5">
        <f>J4+150000</f>
        <v>450000</v>
      </c>
      <c r="K5">
        <f>1-(0.9989)^(J5/1800)</f>
        <v>0.2405428377</v>
      </c>
      <c r="M5">
        <f>M4+250000</f>
        <v>750000</v>
      </c>
      <c r="N5">
        <f>1-(0.9995)^(M5/1800)</f>
        <v>0.1881059552</v>
      </c>
    </row>
    <row r="6">
      <c r="A6">
        <f>A5+10000000</f>
        <v>50000000</v>
      </c>
      <c r="B6">
        <f>1-(0.9997)^(A6/25000)</f>
        <v>0.4512377646</v>
      </c>
      <c r="D6">
        <f>D5+50000000</f>
        <v>250000000</v>
      </c>
      <c r="E6">
        <f>1-(0.9998)^(D6/140000)</f>
        <v>0.3003524538</v>
      </c>
      <c r="G6">
        <f>G5+100000</f>
        <v>400000</v>
      </c>
      <c r="H6">
        <f>1-(0.9993)^(G6/700)</f>
        <v>0.329773836</v>
      </c>
      <c r="J6">
        <f>J5+150000</f>
        <v>600000</v>
      </c>
      <c r="K6">
        <f>1-(0.9989)^(J6/1800)</f>
        <v>0.3070992316</v>
      </c>
      <c r="M6">
        <f>M5+250000</f>
        <v>1000000</v>
      </c>
      <c r="N6">
        <f>1-(0.9995)^(M6/1800)</f>
        <v>0.2425874891</v>
      </c>
    </row>
    <row r="7">
      <c r="A7">
        <f>A6+10000000</f>
        <v>60000000</v>
      </c>
      <c r="B7">
        <f>1-(0.9997)^(A7/25000)</f>
        <v>0.513300321</v>
      </c>
      <c r="D7">
        <f>D6+50000000</f>
        <v>300000000</v>
      </c>
      <c r="E7">
        <f>1-(0.9998)^(D7/140000)</f>
        <v>0.3485888644</v>
      </c>
      <c r="G7">
        <f>G6+100000</f>
        <v>500000</v>
      </c>
      <c r="H7">
        <f>1-(0.9993)^(G7/700)</f>
        <v>0.3935755234</v>
      </c>
      <c r="J7">
        <f>J6+150000</f>
        <v>750000</v>
      </c>
      <c r="K7">
        <f>1-(0.9989)^(J7/1800)</f>
        <v>0.3678228362</v>
      </c>
      <c r="M7">
        <f>M6+250000</f>
        <v>1250000</v>
      </c>
      <c r="N7">
        <f>1-(0.9995)^(M7/1800)</f>
        <v>0.2934130809</v>
      </c>
    </row>
    <row r="8">
      <c r="A8">
        <f>A7+10000000</f>
        <v>70000000</v>
      </c>
      <c r="B8">
        <f>1-(0.9997)^(A8/25000)</f>
        <v>0.5683438796</v>
      </c>
      <c r="D8">
        <f>D7+50000000</f>
        <v>350000000</v>
      </c>
      <c r="E8">
        <f>1-(0.9998)^(D8/140000)</f>
        <v>0.3934996701</v>
      </c>
      <c r="G8">
        <f>G7+100000</f>
        <v>600000</v>
      </c>
      <c r="H8">
        <f>1-(0.9993)^(G8/700)</f>
        <v>0.451303656</v>
      </c>
      <c r="J8">
        <f>J7+150000</f>
        <v>900000</v>
      </c>
      <c r="K8">
        <f>1-(0.9989)^(J8/1800)</f>
        <v>0.4232248186</v>
      </c>
      <c r="M8">
        <f>M7+250000</f>
        <v>1500000</v>
      </c>
      <c r="N8">
        <f>1-(0.9995)^(M8/1800)</f>
        <v>0.34082806</v>
      </c>
    </row>
    <row r="9">
      <c r="A9">
        <f>A8+10000000</f>
        <v>80000000</v>
      </c>
      <c r="B9">
        <f>1-(0.9997)^(A9/25000)</f>
        <v>0.6171622577</v>
      </c>
      <c r="D9">
        <f>D8+50000000</f>
        <v>400000000</v>
      </c>
      <c r="E9">
        <f>1-(0.9998)^(D9/140000)</f>
        <v>0.435314151</v>
      </c>
      <c r="G9">
        <f>G8+100000</f>
        <v>700000</v>
      </c>
      <c r="H9">
        <f>1-(0.9993)^(G9/700)</f>
        <v>0.5035364015</v>
      </c>
      <c r="J9">
        <f>J8+150000</f>
        <v>1050000</v>
      </c>
      <c r="K9">
        <f>1-(0.9989)^(J9/1800)</f>
        <v>0.4737715486</v>
      </c>
      <c r="M9">
        <f>M8+250000</f>
        <v>1750000</v>
      </c>
      <c r="N9">
        <f>1-(0.9995)^(M9/1800)</f>
        <v>0.3850612929</v>
      </c>
    </row>
    <row r="10">
      <c r="A10">
        <f>A9+10000000</f>
        <v>90000000</v>
      </c>
      <c r="B10">
        <f>1-(0.9997)^(A10/25000)</f>
        <v>0.6604594954</v>
      </c>
      <c r="D10">
        <f>D9+50000000</f>
        <v>450000000</v>
      </c>
      <c r="E10">
        <f>1-(0.9998)^(D10/140000)</f>
        <v>0.4742457797</v>
      </c>
      <c r="G10">
        <f>G9+100000</f>
        <v>800000</v>
      </c>
      <c r="H10">
        <f>1-(0.9993)^(G10/700)</f>
        <v>0.5507968891</v>
      </c>
      <c r="J10">
        <f>J9+150000</f>
        <v>1200000</v>
      </c>
      <c r="K10">
        <f>1-(0.9989)^(J10/1800)</f>
        <v>0.5198885251</v>
      </c>
      <c r="M10">
        <f>M9+250000</f>
        <v>2000000</v>
      </c>
      <c r="N10">
        <f>1-(0.9995)^(M10/1800)</f>
        <v>0.4263262883</v>
      </c>
    </row>
    <row r="11">
      <c r="A11">
        <f>A10+10000000</f>
        <v>100000000</v>
      </c>
      <c r="B11">
        <f>1-(0.9997)^(A11/25000)</f>
        <v>0.698860009</v>
      </c>
      <c r="D11">
        <f>D10+50000000</f>
        <v>500000000</v>
      </c>
      <c r="E11">
        <f>1-(0.9998)^(D11/140000)</f>
        <v>0.5104933111</v>
      </c>
      <c r="G11">
        <f>G10+100000</f>
        <v>900000</v>
      </c>
      <c r="H11">
        <f>1-(0.9993)^(G11/700)</f>
        <v>0.5935584493</v>
      </c>
      <c r="J11">
        <f>J10+150000</f>
        <v>1350000</v>
      </c>
      <c r="K11">
        <f>1-(0.9989)^(J11/1800)</f>
        <v>0.5619639574</v>
      </c>
      <c r="M11">
        <f>M10+250000</f>
        <v>2250000</v>
      </c>
      <c r="N11">
        <f>1-(0.9995)^(M11/1800)</f>
        <v>0.4648222274</v>
      </c>
    </row>
    <row r="12">
      <c r="A12">
        <f>A11+10000000</f>
        <v>110000000</v>
      </c>
      <c r="B12">
        <f>1-(0.9997)^(A12/25000)</f>
        <v>0.7329175962</v>
      </c>
      <c r="D12">
        <f>D11+50000000</f>
        <v>550000000</v>
      </c>
      <c r="E12">
        <f>1-(0.9998)^(D12/140000)</f>
        <v>0.5442417974</v>
      </c>
      <c r="G12">
        <f>G11+100000</f>
        <v>1000000</v>
      </c>
      <c r="H12">
        <f>1-(0.9993)^(G12/700)</f>
        <v>0.6322493542</v>
      </c>
      <c r="J12">
        <f>J11+150000</f>
        <v>1500000</v>
      </c>
      <c r="K12">
        <f>1-(0.9989)^(J12/1800)</f>
        <v>0.6003520336</v>
      </c>
      <c r="M12">
        <f>M11+250000</f>
        <v>2500000</v>
      </c>
      <c r="N12">
        <f>1-(0.9995)^(M12/1800)</f>
        <v>0.5007349258</v>
      </c>
    </row>
    <row r="13">
      <c r="A13">
        <f>A12+10000000</f>
        <v>120000000</v>
      </c>
      <c r="B13">
        <f>1-(0.9997)^(A13/25000)</f>
        <v>0.7631234224</v>
      </c>
      <c r="D13">
        <f>D12+50000000</f>
        <v>600000000</v>
      </c>
      <c r="E13">
        <f>1-(0.9998)^(D13/140000)</f>
        <v>0.5756635324</v>
      </c>
      <c r="G13">
        <f>G12+100000</f>
        <v>1100000</v>
      </c>
      <c r="H13">
        <f>1-(0.9993)^(G13/700)</f>
        <v>0.6672571068</v>
      </c>
      <c r="J13">
        <f>J12+150000</f>
        <v>1650000</v>
      </c>
      <c r="K13">
        <f>1-(0.9989)^(J13/1800)</f>
        <v>0.6353759017</v>
      </c>
      <c r="M13">
        <f>M12+250000</f>
        <v>2750000</v>
      </c>
      <c r="N13">
        <f>1-(0.9995)^(M13/1800)</f>
        <v>0.5342377298</v>
      </c>
    </row>
    <row r="14">
      <c r="A14">
        <f>A13+10000000</f>
        <v>130000000</v>
      </c>
      <c r="B14">
        <f>1-(0.9997)^(A14/25000)</f>
        <v>0.7899131047</v>
      </c>
      <c r="D14">
        <f>D13+50000000</f>
        <v>650000000</v>
      </c>
      <c r="E14">
        <f>1-(0.9998)^(D14/140000)</f>
        <v>0.6049189314</v>
      </c>
      <c r="G14">
        <f>G13+100000</f>
        <v>1200000</v>
      </c>
      <c r="H14">
        <f>1-(0.9993)^(G14/700)</f>
        <v>0.6989323221</v>
      </c>
      <c r="J14">
        <f>J13+150000</f>
        <v>1800000</v>
      </c>
      <c r="K14">
        <f>1-(0.9989)^(J14/1800)</f>
        <v>0.6673303901</v>
      </c>
      <c r="M14">
        <f>M13+250000</f>
        <v>3000000</v>
      </c>
      <c r="N14">
        <f>1-(0.9995)^(M14/1800)</f>
        <v>0.5654923535</v>
      </c>
    </row>
    <row r="15">
      <c r="A15">
        <f>A14+10000000</f>
        <v>140000000</v>
      </c>
      <c r="B15">
        <f>1-(0.9997)^(A15/25000)</f>
        <v>0.8136729937</v>
      </c>
      <c r="D15">
        <f>D14+50000000</f>
        <v>700000000</v>
      </c>
      <c r="E15">
        <f>1-(0.9998)^(D15/140000)</f>
        <v>0.6321573498</v>
      </c>
      <c r="G15">
        <f>G14+100000</f>
        <v>1300000</v>
      </c>
      <c r="H15">
        <f>1-(0.9993)^(G15/700)</f>
        <v>0.7275922386</v>
      </c>
      <c r="J15">
        <f>J14+150000</f>
        <v>1950000</v>
      </c>
      <c r="K15">
        <f>1-(0.9989)^(J15/1800)</f>
        <v>0.6964844895</v>
      </c>
      <c r="M15">
        <f>M14+250000</f>
        <v>3250000</v>
      </c>
      <c r="N15">
        <f>1-(0.9995)^(M15/1800)</f>
        <v>0.5946496595</v>
      </c>
    </row>
    <row r="16">
      <c r="A16">
        <f>A15+10000000</f>
        <v>150000000</v>
      </c>
      <c r="B16">
        <f>1-(0.9997)^(A16/25000)</f>
        <v>0.8347457454</v>
      </c>
      <c r="D16">
        <f>D15+50000000</f>
        <v>750000000</v>
      </c>
      <c r="E16">
        <f>1-(0.9998)^(D16/140000)</f>
        <v>0.6575178463</v>
      </c>
      <c r="G16">
        <f>G15+100000</f>
        <v>1400000</v>
      </c>
      <c r="H16">
        <f>1-(0.9993)^(G16/700)</f>
        <v>0.7535238954</v>
      </c>
      <c r="J16">
        <f>J15+150000</f>
        <v>2100000</v>
      </c>
      <c r="K16">
        <f>1-(0.9989)^(J16/1800)</f>
        <v>0.723083617</v>
      </c>
      <c r="M16">
        <f>M15+250000</f>
        <v>3500000</v>
      </c>
      <c r="N16">
        <f>1-(0.9995)^(M16/1800)</f>
        <v>0.6218503865</v>
      </c>
    </row>
    <row r="17">
      <c r="A17">
        <f>A16+10000000</f>
        <v>160000000</v>
      </c>
      <c r="B17">
        <f>1-(0.9997)^(A17/25000)</f>
        <v>0.853435263</v>
      </c>
      <c r="D17">
        <f>D16+50000000</f>
        <v>800000000</v>
      </c>
      <c r="E17">
        <f>1-(0.9998)^(D17/140000)</f>
        <v>0.6811298919</v>
      </c>
      <c r="G17">
        <f>G16+100000</f>
        <v>1500000</v>
      </c>
      <c r="H17">
        <f>1-(0.9993)^(G17/700)</f>
        <v>0.7769870071</v>
      </c>
      <c r="J17">
        <f>J16+150000</f>
        <v>2250000</v>
      </c>
      <c r="K17">
        <f>1-(0.9989)^(J17/1800)</f>
        <v>0.7473516821</v>
      </c>
      <c r="M17">
        <f>M16+250000</f>
        <v>3750000</v>
      </c>
      <c r="N17">
        <f>1-(0.9995)^(M17/1800)</f>
        <v>0.6472258294</v>
      </c>
    </row>
    <row r="18">
      <c r="A18">
        <f>A17+10000000</f>
        <v>170000000</v>
      </c>
      <c r="B18">
        <f>1-(0.9997)^(A18/25000)</f>
        <v>0.8700110798</v>
      </c>
      <c r="D18">
        <f>D17+50000000</f>
        <v>850000000</v>
      </c>
      <c r="E18">
        <f>1-(0.9998)^(D18/140000)</f>
        <v>0.7031140317</v>
      </c>
      <c r="G18">
        <f>G17+100000</f>
        <v>1600000</v>
      </c>
      <c r="H18">
        <f>1-(0.9993)^(G18/700)</f>
        <v>0.7982165652</v>
      </c>
      <c r="J18">
        <f>J17+150000</f>
        <v>2400000</v>
      </c>
      <c r="K18">
        <f>1-(0.9989)^(J18/1800)</f>
        <v>0.7694929717</v>
      </c>
      <c r="M18">
        <f>M17+250000</f>
        <v>4000000</v>
      </c>
      <c r="N18">
        <f>1-(0.9995)^(M18/1800)</f>
        <v>0.6708984725</v>
      </c>
    </row>
    <row r="19">
      <c r="A19">
        <f>A18+10000000</f>
        <v>180000000</v>
      </c>
      <c r="B19">
        <f>1-(0.9997)^(A19/25000)</f>
        <v>0.8847122457</v>
      </c>
      <c r="D19">
        <f>D18+50000000</f>
        <v>900000000</v>
      </c>
      <c r="E19">
        <f>1-(0.9998)^(D19/140000)</f>
        <v>0.7235824998</v>
      </c>
      <c r="G19">
        <f>G18+100000</f>
        <v>1700000</v>
      </c>
      <c r="H19">
        <f>1-(0.9993)^(G19/700)</f>
        <v>0.817425191</v>
      </c>
      <c r="J19">
        <f>J18+150000</f>
        <v>2550000</v>
      </c>
      <c r="K19">
        <f>1-(0.9989)^(J19/1800)</f>
        <v>0.7896938695</v>
      </c>
      <c r="M19">
        <f>M18+250000</f>
        <v>4250000</v>
      </c>
      <c r="N19">
        <f>1-(0.9995)^(M19/1800)</f>
        <v>0.6929825808</v>
      </c>
    </row>
    <row r="20">
      <c r="A20">
        <f>A19+10000000</f>
        <v>190000000</v>
      </c>
      <c r="B20">
        <f>1-(0.9997)^(A20/25000)</f>
        <v>0.8977507755</v>
      </c>
      <c r="D20">
        <f>D19+50000000</f>
        <v>950000000</v>
      </c>
      <c r="E20">
        <f>1-(0.9998)^(D20/140000)</f>
        <v>0.7426397924</v>
      </c>
      <c r="G20">
        <f>G19+100000</f>
        <v>1800000</v>
      </c>
      <c r="H20">
        <f>1-(0.9993)^(G20/700)</f>
        <v>0.8348052659</v>
      </c>
      <c r="J20">
        <f>J19+150000</f>
        <v>2700000</v>
      </c>
      <c r="K20">
        <f>1-(0.9989)^(J20/1800)</f>
        <v>0.8081244254</v>
      </c>
      <c r="M20">
        <f>M19+250000</f>
        <v>4500000</v>
      </c>
      <c r="N20">
        <f>1-(0.9995)^(M20/1800)</f>
        <v>0.7135847517</v>
      </c>
    </row>
    <row r="21">
      <c r="A21">
        <f>A20+10000000</f>
        <v>200000000</v>
      </c>
      <c r="B21">
        <f>1-(0.9997)^(A21/25000)</f>
        <v>0.9093147058</v>
      </c>
      <c r="D21">
        <f>D20+50000000</f>
        <v>1000000000</v>
      </c>
      <c r="E21">
        <f>1-(0.9998)^(D21/140000)</f>
        <v>0.7603832015</v>
      </c>
      <c r="G21">
        <f>G20+100000</f>
        <v>1900000</v>
      </c>
      <c r="H21">
        <f>1-(0.9993)^(G21/700)</f>
        <v>0.8505308573</v>
      </c>
      <c r="J21">
        <f>J20+150000</f>
        <v>2850000</v>
      </c>
      <c r="K21">
        <f>1-(0.9989)^(J21/1800)</f>
        <v>0.8249397864</v>
      </c>
      <c r="M21">
        <f>M20+250000</f>
        <v>4750000</v>
      </c>
      <c r="N21">
        <f>1-(0.9995)^(M21/1800)</f>
        <v>0.7328044297</v>
      </c>
    </row>
    <row r="22">
      <c r="D22">
        <f>D21+50000000</f>
        <v>1050000000</v>
      </c>
      <c r="E22">
        <f>1-(0.9998)^(D22/140000)</f>
        <v>0.7769033113</v>
      </c>
      <c r="G22">
        <f>G21+100000</f>
        <v>2000000</v>
      </c>
      <c r="H22">
        <f>1-(0.9993)^(G22/700)</f>
        <v>0.8647594625</v>
      </c>
      <c r="J22">
        <f>J21+150000</f>
        <v>3000000</v>
      </c>
      <c r="K22">
        <f>1-(0.9989)^(J22/1800)</f>
        <v>0.8402815029</v>
      </c>
      <c r="M22">
        <f>M21+250000</f>
        <v>5000000</v>
      </c>
      <c r="N22">
        <f>1-(0.9995)^(M22/1800)</f>
        <v>0.7507343857</v>
      </c>
    </row>
    <row r="23">
      <c r="A23" t="str">
        <v>By Ethan</v>
      </c>
      <c r="D23">
        <f>D22+50000000</f>
        <v>1100000000</v>
      </c>
      <c r="E23">
        <f>1-(0.9998)^(D23/140000)</f>
        <v>0.7922844608</v>
      </c>
      <c r="G23">
        <f>G22+100000</f>
        <v>2100000</v>
      </c>
      <c r="H23">
        <f>1-(0.9993)^(G23/700)</f>
        <v>0.8776335861</v>
      </c>
      <c r="J23">
        <f>J22+150000</f>
        <v>3150000</v>
      </c>
      <c r="K23">
        <f>1-(0.9989)^(J23/1800)</f>
        <v>0.8542787206</v>
      </c>
      <c r="M23">
        <f>M22+250000</f>
        <v>5250000</v>
      </c>
      <c r="N23">
        <f>1-(0.9995)^(M23/1800)</f>
        <v>0.7674611656</v>
      </c>
    </row>
    <row r="24">
      <c r="A24" t="str">
        <v>~75% is avg</v>
      </c>
      <c r="D24">
        <f>D23+50000000</f>
        <v>1150000000</v>
      </c>
      <c r="E24">
        <f>1-(0.9998)^(D24/140000)</f>
        <v>0.8066051743</v>
      </c>
      <c r="G24">
        <f>G23+100000</f>
        <v>2200000</v>
      </c>
      <c r="H24">
        <f>1-(0.9993)^(G24/700)</f>
        <v>0.889282167</v>
      </c>
      <c r="J24">
        <f>J23+150000</f>
        <v>3300000</v>
      </c>
      <c r="K24">
        <f>1-(0.9989)^(J24/1800)</f>
        <v>0.8670492669</v>
      </c>
      <c r="M24">
        <f>M23+250000</f>
        <v>5500000</v>
      </c>
      <c r="N24">
        <f>1-(0.9995)^(M24/1800)</f>
        <v>0.7830655076</v>
      </c>
    </row>
    <row r="25">
      <c r="D25">
        <f>D24+50000000</f>
        <v>1200000000</v>
      </c>
      <c r="E25">
        <f>1-(0.9998)^(D25/140000)</f>
        <v>0.8199385623</v>
      </c>
      <c r="G25">
        <f>G24+100000</f>
        <v>2300000</v>
      </c>
      <c r="H25">
        <f>1-(0.9993)^(G25/700)</f>
        <v>0.8998218698</v>
      </c>
      <c r="J25">
        <f>J24+150000</f>
        <v>3450000</v>
      </c>
      <c r="K25">
        <f>1-(0.9989)^(J25/1800)</f>
        <v>0.8787006435</v>
      </c>
      <c r="M25">
        <f>M24+250000</f>
        <v>5750000</v>
      </c>
      <c r="N25">
        <f>1-(0.9995)^(M25/1800)</f>
        <v>0.7976227322</v>
      </c>
    </row>
    <row r="26">
      <c r="D26">
        <f>D25+50000000</f>
        <v>1250000000</v>
      </c>
      <c r="E26">
        <f>1-(0.9998)^(D26/140000)</f>
        <v>0.8323526949</v>
      </c>
      <c r="G26">
        <f>G25+100000</f>
        <v>2400000</v>
      </c>
      <c r="H26">
        <f>1-(0.9993)^(G26/700)</f>
        <v>0.9093582533</v>
      </c>
      <c r="J26">
        <f>J25+150000</f>
        <v>3600000</v>
      </c>
      <c r="K26">
        <f>1-(0.9989)^(J26/1800)</f>
        <v>0.8893309307</v>
      </c>
      <c r="M26">
        <f>M25+250000</f>
        <v>6000000</v>
      </c>
      <c r="N26">
        <f>1-(0.9995)^(M26/1800)</f>
        <v>0.8112031052</v>
      </c>
    </row>
    <row r="27">
      <c r="D27">
        <f>D26+50000000</f>
        <v>1300000000</v>
      </c>
      <c r="E27">
        <f>1-(0.9998)^(D27/140000)</f>
        <v>0.8439109492</v>
      </c>
      <c r="J27">
        <f>J26+150000</f>
        <v>3750000</v>
      </c>
      <c r="K27">
        <f>1-(0.9989)^(J27/1800)</f>
        <v>0.8990296135</v>
      </c>
      <c r="M27">
        <f>M26+250000</f>
        <v>6250000</v>
      </c>
      <c r="N27">
        <f>1-(0.9995)^(M27/1800)</f>
        <v>0.8238721775</v>
      </c>
    </row>
    <row r="28">
      <c r="D28">
        <f>D27+50000000</f>
        <v>1350000000</v>
      </c>
      <c r="E28">
        <f>1-(0.9998)^(D28/140000)</f>
        <v>0.8546723327</v>
      </c>
      <c r="J28">
        <f>J27+150000</f>
        <v>3900000</v>
      </c>
      <c r="K28">
        <f>1-(0.9989)^(J28/1800)</f>
        <v>0.9078783349</v>
      </c>
      <c r="M28">
        <f>M27+250000</f>
        <v>6500000</v>
      </c>
      <c r="N28">
        <f>1-(0.9995)^(M28/1800)</f>
        <v>0.8356911014</v>
      </c>
    </row>
    <row r="29">
      <c r="D29">
        <f>D28+50000000</f>
        <v>1400000000</v>
      </c>
      <c r="E29">
        <f>1-(0.9998)^(D29/140000)</f>
        <v>0.8646917847</v>
      </c>
      <c r="J29">
        <f>J28+150000</f>
        <v>4050000</v>
      </c>
      <c r="K29">
        <f>1-(0.9989)^(J29/1800)</f>
        <v>0.9159515826</v>
      </c>
      <c r="M29">
        <f>M28+250000</f>
        <v>6750000</v>
      </c>
      <c r="N29">
        <f>1-(0.9995)^(M29/1800)</f>
        <v>0.8467169254</v>
      </c>
    </row>
    <row r="30">
      <c r="D30">
        <f>D29+50000000</f>
        <v>1450000000</v>
      </c>
      <c r="E30">
        <f>1-(0.9998)^(D30/140000)</f>
        <v>0.8740204569</v>
      </c>
      <c r="M30">
        <f>M29+250000</f>
        <v>7000000</v>
      </c>
      <c r="N30">
        <f>1-(0.9995)^(M30/1800)</f>
        <v>0.8570028698</v>
      </c>
    </row>
    <row r="31">
      <c r="D31">
        <f>D30+50000000</f>
        <v>1500000000</v>
      </c>
      <c r="E31">
        <f>1-(0.9998)^(D31/140000)</f>
        <v>0.8827059744</v>
      </c>
      <c r="M31">
        <f>M30+250000</f>
        <v>7250000</v>
      </c>
      <c r="N31">
        <f>1-(0.9995)^(M31/1800)</f>
        <v>0.8665985838</v>
      </c>
    </row>
    <row r="32">
      <c r="D32">
        <f>D31+50000000</f>
        <v>1550000000</v>
      </c>
      <c r="E32">
        <f>1-(0.9998)^(D32/140000)</f>
        <v>0.8907926786</v>
      </c>
      <c r="M32">
        <f>M31+250000</f>
        <v>7500000</v>
      </c>
      <c r="N32">
        <f>1-(0.9995)^(M32/1800)</f>
        <v>0.8755503846</v>
      </c>
    </row>
    <row r="33">
      <c r="D33">
        <f>D32+50000000</f>
        <v>1600000000</v>
      </c>
      <c r="E33">
        <f>1-(0.9998)^(D33/140000)</f>
        <v>0.8983218542</v>
      </c>
      <c r="M33">
        <f>M32+250000</f>
        <v>7750000</v>
      </c>
      <c r="N33">
        <f>1-(0.9995)^(M33/1800)</f>
        <v>0.8839014816</v>
      </c>
    </row>
    <row r="34">
      <c r="D34">
        <f>D33+50000000</f>
        <v>1650000000</v>
      </c>
      <c r="E34">
        <f>1-(0.9998)^(D34/140000)</f>
        <v>0.9053319392</v>
      </c>
      <c r="M34">
        <f>M33+250000</f>
        <v>8000000</v>
      </c>
      <c r="N34">
        <f>1-(0.9995)^(M34/1800)</f>
        <v>0.8916921846</v>
      </c>
    </row>
    <row r="35">
      <c r="D35">
        <f>D34+50000000</f>
        <v>1700000000</v>
      </c>
      <c r="E35">
        <f>1-(0.9998)^(D35/140000)</f>
        <v>0.9118587218</v>
      </c>
      <c r="M35">
        <f>M34+250000</f>
        <v>8250000</v>
      </c>
      <c r="N35">
        <f>1-(0.9995)^(M35/1800)</f>
        <v>0.8989600984</v>
      </c>
    </row>
    <row r="36">
      <c r="D36">
        <f>D35+50000000</f>
        <v>1750000000</v>
      </c>
      <c r="E36">
        <f>1-(0.9998)^(D36/140000)</f>
        <v>0.9179355228</v>
      </c>
      <c r="M36">
        <f>M35+250000</f>
        <v>8500000</v>
      </c>
      <c r="N36">
        <f>1-(0.9995)^(M36/1800)</f>
        <v>0.9057403043</v>
      </c>
    </row>
    <row r="37">
      <c r="M37">
        <f>M36+250000</f>
        <v>8750000</v>
      </c>
      <c r="N37">
        <f>1-(0.9995)^(M37/1800)</f>
        <v>0.9120655297</v>
      </c>
    </row>
    <row r="38">
      <c r="M38">
        <f>M37+250000</f>
        <v>9000000</v>
      </c>
      <c r="N38">
        <f>1-(0.9995)^(M38/1800)</f>
        <v>0.9179663056</v>
      </c>
    </row>
    <row r="39">
      <c r="M39">
        <f>M38+250000</f>
        <v>9250000</v>
      </c>
      <c r="N39">
        <f>1-(0.9995)^(M39/1800)</f>
        <v>0.9234711144</v>
      </c>
    </row>
    <row r="40">
      <c r="M40">
        <f>M39+250000</f>
        <v>9500000</v>
      </c>
      <c r="N40">
        <f>1-(0.9995)^(M40/1800)</f>
        <v>0.9286065272</v>
      </c>
    </row>
    <row r="41">
      <c r="M41">
        <f>M40+250000</f>
        <v>9750000</v>
      </c>
      <c r="N41">
        <f>1-(0.9995)^(M41/1800)</f>
        <v>0.933397332</v>
      </c>
    </row>
  </sheetData>
  <ignoredErrors>
    <ignoredError numberStoredAsText="1" sqref="A1:N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5"/>
  <sheetViews>
    <sheetView workbookViewId="0" rightToLeft="0"/>
  </sheetViews>
  <sheetData>
    <row r="1">
      <c r="A1" t="str">
        <v>import pandas as pd</v>
      </c>
    </row>
    <row r="3">
      <c r="A3" t="str">
        <v># Provided data from the user's code</v>
      </c>
    </row>
    <row r="4">
      <c r="A4" t="str">
        <v>level_to_chance = {</v>
      </c>
    </row>
    <row r="5">
      <c r="A5">
        <v>0.1111111111111111</v>
      </c>
      <c r="B5">
        <v>0.14583333333333334</v>
      </c>
      <c r="C5">
        <v>0.18055555555555555</v>
      </c>
      <c r="D5">
        <v>0.2152777777777778</v>
      </c>
      <c r="E5">
        <v>0.25</v>
      </c>
      <c r="F5">
        <v>0.2847222222222222</v>
      </c>
      <c r="G5">
        <v>0.3194444444444444</v>
      </c>
      <c r="H5">
        <v>0.3541666666666667</v>
      </c>
      <c r="I5">
        <v>0.3888888888888889</v>
      </c>
      <c r="J5">
        <v>0.4236111111111111</v>
      </c>
    </row>
    <row r="6">
      <c r="A6" t="str">
        <v>11: 5</v>
      </c>
      <c r="B6" t="str">
        <v>12: 4</v>
      </c>
      <c r="C6" t="str">
        <v>13: 3</v>
      </c>
      <c r="D6" t="str">
        <v>14: 2</v>
      </c>
      <c r="E6" t="str">
        <v>15: 1</v>
      </c>
      <c r="F6" t="str">
        <v>16: 0.8</v>
      </c>
      <c r="G6" t="str">
        <v>17: 0.6</v>
      </c>
      <c r="H6" t="str">
        <v>18: 0.4</v>
      </c>
      <c r="I6" t="str">
        <v>19: 0.2</v>
      </c>
    </row>
    <row r="7">
      <c r="A7" t="str">
        <v>20: 0.1</v>
      </c>
      <c r="B7" t="str">
        <v>21: 0.1</v>
      </c>
      <c r="C7" t="str">
        <v>22: 0.1</v>
      </c>
      <c r="D7" t="str">
        <v>23: 0.1</v>
      </c>
      <c r="E7" t="str">
        <v>24: 0.1</v>
      </c>
      <c r="F7" t="str">
        <v>25: 0.1</v>
      </c>
    </row>
    <row r="8">
      <c r="A8" t="str">
        <v>}</v>
      </c>
    </row>
    <row r="10">
      <c r="A10" t="str">
        <v># The boost multipliers from the user's code</v>
      </c>
    </row>
    <row r="11">
      <c r="A11" t="str">
        <v>chance_x2_pass = 2</v>
      </c>
    </row>
    <row r="12">
      <c r="A12" t="str">
        <v>ugc_chance_x2 = 2 # The UGC item also provides a 2x boost</v>
      </c>
    </row>
    <row r="14">
      <c r="A14" t="str">
        <v># Initialize a list to hold the data for the sheet</v>
      </c>
    </row>
    <row r="15">
      <c r="A15" t="str">
        <v>data = []</v>
      </c>
    </row>
    <row r="17">
      <c r="A17" t="str">
        <v># Loop through each level from 1 to 24 to calculate the chance to get to the next level</v>
      </c>
    </row>
    <row r="18">
      <c r="A18" t="str">
        <v>for level in range(1</v>
      </c>
      <c r="B18" t="str">
        <v>25):</v>
      </c>
    </row>
    <row r="19">
      <c r="A19" t="str">
        <v>base_chance = level_to_chance[level + 1]</v>
      </c>
    </row>
    <row r="20">
      <c r="A20" t="str">
        <v>chance_with_pass = min(base_chance * chance_x2_pass</v>
      </c>
      <c r="B20" t="str">
        <v>100)</v>
      </c>
    </row>
    <row r="21">
      <c r="A21" t="str">
        <v>chance_with_ugc = min(base_chance * ugc_chance_x2</v>
      </c>
      <c r="B21" t="str">
        <v>100)</v>
      </c>
    </row>
    <row r="22">
      <c r="A22" t="str">
        <v>chance_with_both = min(base_chance * chance_x2_pass * ugc_chance_x2</v>
      </c>
      <c r="B22" t="str">
        <v>100)</v>
      </c>
    </row>
    <row r="24">
      <c r="A24" t="str">
        <v>data.append([</v>
      </c>
    </row>
    <row r="25">
      <c r="A25" t="str">
        <v>f'Level {level} -&gt; {level + 1}'</v>
      </c>
    </row>
    <row r="26">
      <c r="A26" t="str">
        <v>base_chance</v>
      </c>
    </row>
    <row r="27">
      <c r="A27" t="str">
        <v>chance_with_pass</v>
      </c>
    </row>
    <row r="28">
      <c r="A28" t="str">
        <v>chance_with_ugc</v>
      </c>
    </row>
    <row r="29">
      <c r="A29" t="str">
        <v>chance_with_both</v>
      </c>
    </row>
    <row r="30">
      <c r="A30" t="str">
        <v>])</v>
      </c>
    </row>
    <row r="32">
      <c r="A32" t="str">
        <v># Create a DataFrame from the data</v>
      </c>
    </row>
    <row r="33">
      <c r="A33" t="str">
        <v>df = pd.DataFrame(data</v>
      </c>
      <c r="B33" t="str">
        <v>columns=[</v>
      </c>
    </row>
    <row r="34">
      <c r="A34" t="str">
        <v>Upgrade'</v>
      </c>
    </row>
    <row r="35">
      <c r="A35" t="str">
        <v>Base Chance (%)'</v>
      </c>
    </row>
    <row r="36">
      <c r="A36" t="str">
        <v>Chance with Pass (%)'</v>
      </c>
    </row>
    <row r="37">
      <c r="A37" t="str">
        <v>Chance with UGC (%)'</v>
      </c>
    </row>
    <row r="38">
      <c r="A38" t="str">
        <v>Chance with Both Boosts (%)'</v>
      </c>
    </row>
    <row r="39">
      <c r="A39" t="str">
        <v>])</v>
      </c>
    </row>
    <row r="41">
      <c r="A41" t="str">
        <v># Output the DataFrame to a CSV file</v>
      </c>
    </row>
    <row r="42">
      <c r="A42" t="str">
        <v>df.to_csv('unit_upgrade_chances.csv'</v>
      </c>
      <c r="B42" t="str">
        <v>index=False)</v>
      </c>
    </row>
    <row r="44">
      <c r="A44" t="str">
        <v>print("CSV file 'unit_upgrade_chances.csv' created successfully.")</v>
      </c>
    </row>
    <row r="45">
      <c r="A45" t="str">
        <v>print(df.to_string())</v>
      </c>
    </row>
  </sheetData>
  <ignoredErrors>
    <ignoredError numberStoredAsText="1" sqref="A1:J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Unit Info</vt:lpstr>
      <vt:lpstr>Tier List</vt:lpstr>
      <vt:lpstr>Mod List</vt:lpstr>
      <vt:lpstr>Level Costs</vt:lpstr>
      <vt:lpstr>Crate Chances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